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6BC5EAEA-93E4-4D56-A3DA-5AF2F2ACE427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16" i="2"/>
  <c r="P117" i="2"/>
  <c r="E113" i="2"/>
  <c r="Q113" i="2"/>
  <c r="Q115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Q116" i="2"/>
  <c r="Q117" i="2"/>
  <c r="F113" i="2"/>
  <c r="R113" i="2"/>
  <c r="R115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R116" i="2"/>
  <c r="R117" i="2"/>
  <c r="G113" i="2"/>
  <c r="S113" i="2"/>
  <c r="S115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<sst xmlns="http://schemas.openxmlformats.org/spreadsheetml/2006/main" count="489" uniqueCount="73">
  <si>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</si>
  <si>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</si>
  <si>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</si>
  <si>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</si>
  <si>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</si>
  <si>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</si>
  <si>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</si>
  <si>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22-05-2017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</si>
  <si>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</si>
  <si>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</si>
  <si>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</si>
  <si>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</si>
  <si>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</si>
  <si>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</si>
  <si>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</si>
  <si>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</si>
  <si>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</si>
  <si>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</si>
  <si>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</si>
  <si>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</si>
  <si>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</si>
  <si>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</si>
  <si>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</si>
  <si>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</si>
  <si>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</si>
  <si>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</si>
  <si>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</si>
  <si>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 xml:space="preserve">1/10 foreman 1 helper, 1 operator </t>
  </si>
  <si>
    <t>Hoe</t>
  </si>
  <si>
    <t>01 rock excavation using hydraulic excavator</t>
  </si>
  <si>
    <t>rock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</si>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</sst>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1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201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0.86</v>
      </c>
      <c r="J11" s="6">
        <v>0.63</v>
      </c>
      <c r="K11" s="6">
        <v>60</v>
      </c>
      <c r="L11" s="6"/>
      <c r="M11" s="6">
        <v>1</v>
      </c>
      <c r="N11" s="6">
        <v>21</v>
      </c>
      <c r="O11" s="6">
        <f t="shared" ref="O11:O42" si="0">3600*M11*H11*I11*K11/(J11*N11*60)</f>
        <v>229.33333333333329</v>
      </c>
      <c r="P11" s="34">
        <f>MPDM!H118*H11*I11*J11*M11</f>
        <v>91.215448568398728</v>
      </c>
      <c r="Q11" s="34">
        <f>MPDM!K118*H11*I11*J11*M11</f>
        <v>43.800879926672785</v>
      </c>
      <c r="R11" s="35">
        <f>MPDM!H119</f>
        <v>0.14283021091080467</v>
      </c>
      <c r="S11" s="35">
        <f>MPDM!K119</f>
        <v>0.58153579794276378</v>
      </c>
    </row>
    <row r="12" spans="2:19" ht="33" customHeight="1" x14ac:dyDescent="0.2">
      <c r="B12" s="7">
        <v>202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0.86</v>
      </c>
      <c r="J12" s="7">
        <v>0.63</v>
      </c>
      <c r="K12" s="7">
        <v>60</v>
      </c>
      <c r="L12" s="7"/>
      <c r="M12" s="7">
        <v>1</v>
      </c>
      <c r="N12" s="7">
        <v>21</v>
      </c>
      <c r="O12" s="7">
        <f t="shared" si="0"/>
        <v>229.33333333333329</v>
      </c>
      <c r="P12" s="7"/>
      <c r="Q12" s="7"/>
      <c r="R12" s="7"/>
      <c r="S12" s="7"/>
    </row>
    <row r="13" spans="2:19" ht="33" customHeight="1" x14ac:dyDescent="0.2">
      <c r="B13" s="7">
        <v>203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0.86</v>
      </c>
      <c r="J13" s="7">
        <v>0.63</v>
      </c>
      <c r="K13" s="7">
        <v>60</v>
      </c>
      <c r="L13" s="7"/>
      <c r="M13" s="7">
        <v>1</v>
      </c>
      <c r="N13" s="7">
        <v>22</v>
      </c>
      <c r="O13" s="7">
        <f t="shared" si="0"/>
        <v>218.90909090909091</v>
      </c>
      <c r="P13" s="7"/>
      <c r="Q13" s="7"/>
      <c r="R13" s="7"/>
      <c r="S13" s="7"/>
    </row>
    <row r="14" spans="2:19" ht="33" customHeight="1" x14ac:dyDescent="0.2">
      <c r="B14" s="7">
        <v>204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0.98</v>
      </c>
      <c r="J14" s="7">
        <v>0.63</v>
      </c>
      <c r="K14" s="7">
        <v>60</v>
      </c>
      <c r="L14" s="7"/>
      <c r="M14" s="7">
        <v>1</v>
      </c>
      <c r="N14" s="7">
        <v>24</v>
      </c>
      <c r="O14" s="7">
        <f t="shared" si="0"/>
        <v>228.66666666666666</v>
      </c>
      <c r="P14" s="7"/>
      <c r="Q14" s="7"/>
      <c r="R14" s="7"/>
      <c r="S14" s="7"/>
    </row>
    <row r="15" spans="2:19" ht="33" customHeight="1" thickBot="1" x14ac:dyDescent="0.25">
      <c r="B15" s="8">
        <v>205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0.98</v>
      </c>
      <c r="J15" s="8">
        <v>0.63</v>
      </c>
      <c r="K15" s="8">
        <v>60</v>
      </c>
      <c r="L15" s="8"/>
      <c r="M15" s="8">
        <v>1</v>
      </c>
      <c r="N15" s="8">
        <v>22</v>
      </c>
      <c r="O15" s="8">
        <f t="shared" si="0"/>
        <v>249.45454545454547</v>
      </c>
      <c r="P15" s="8"/>
      <c r="Q15" s="8"/>
      <c r="R15" s="8"/>
      <c r="S15" s="8"/>
    </row>
    <row r="16" spans="2:19" ht="33" customHeight="1" x14ac:dyDescent="0.2">
      <c r="B16" s="6">
        <v>206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0.69</v>
      </c>
      <c r="J16" s="6">
        <v>0.63</v>
      </c>
      <c r="K16" s="6">
        <v>60</v>
      </c>
      <c r="L16" s="6"/>
      <c r="M16" s="6">
        <v>1</v>
      </c>
      <c r="N16" s="6">
        <v>27</v>
      </c>
      <c r="O16" s="6">
        <f t="shared" si="0"/>
        <v>143.11111111111109</v>
      </c>
      <c r="P16" s="6"/>
      <c r="Q16" s="6"/>
      <c r="R16" s="6"/>
      <c r="S16" s="6"/>
    </row>
    <row r="17" spans="2:19" ht="33" customHeight="1" x14ac:dyDescent="0.2">
      <c r="B17" s="7">
        <v>207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0.69</v>
      </c>
      <c r="J17" s="7">
        <v>0.63</v>
      </c>
      <c r="K17" s="7">
        <v>60</v>
      </c>
      <c r="L17" s="7"/>
      <c r="M17" s="7">
        <v>1</v>
      </c>
      <c r="N17" s="7">
        <v>20</v>
      </c>
      <c r="O17" s="7">
        <f t="shared" si="0"/>
        <v>193.2</v>
      </c>
      <c r="P17" s="7"/>
      <c r="Q17" s="7"/>
      <c r="R17" s="7"/>
      <c r="S17" s="7"/>
    </row>
    <row r="18" spans="2:19" ht="33" customHeight="1" x14ac:dyDescent="0.2">
      <c r="B18" s="7">
        <v>208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0.69</v>
      </c>
      <c r="J18" s="7">
        <v>0.63</v>
      </c>
      <c r="K18" s="7">
        <v>60</v>
      </c>
      <c r="L18" s="7"/>
      <c r="M18" s="7">
        <v>1</v>
      </c>
      <c r="N18" s="7">
        <v>19</v>
      </c>
      <c r="O18" s="7">
        <f t="shared" si="0"/>
        <v>203.36842105263153</v>
      </c>
      <c r="P18" s="7"/>
      <c r="Q18" s="7"/>
      <c r="R18" s="7"/>
      <c r="S18" s="7"/>
    </row>
    <row r="19" spans="2:19" ht="33" customHeight="1" x14ac:dyDescent="0.2">
      <c r="B19" s="7">
        <v>209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0.98</v>
      </c>
      <c r="J19" s="7">
        <v>0.63</v>
      </c>
      <c r="K19" s="7">
        <v>60</v>
      </c>
      <c r="L19" s="7"/>
      <c r="M19" s="7">
        <v>1</v>
      </c>
      <c r="N19" s="7">
        <v>254</v>
      </c>
      <c r="O19" s="7">
        <f t="shared" si="0"/>
        <v>21.606299212598422</v>
      </c>
      <c r="P19" s="7"/>
      <c r="Q19" s="7"/>
      <c r="R19" s="7"/>
      <c r="S19" s="7"/>
    </row>
    <row r="20" spans="2:19" ht="33" customHeight="1" thickBot="1" x14ac:dyDescent="0.25">
      <c r="B20" s="8">
        <v>210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0.98</v>
      </c>
      <c r="J20" s="8">
        <v>0.63</v>
      </c>
      <c r="K20" s="8">
        <v>60</v>
      </c>
      <c r="L20" s="8"/>
      <c r="M20" s="8">
        <v>1</v>
      </c>
      <c r="N20" s="8">
        <v>17</v>
      </c>
      <c r="O20" s="8">
        <f t="shared" si="0"/>
        <v>322.8235294117647</v>
      </c>
      <c r="P20" s="8"/>
      <c r="Q20" s="8"/>
      <c r="R20" s="8"/>
      <c r="S20" s="8"/>
    </row>
    <row r="21" spans="2:19" x14ac:dyDescent="0.2">
      <c r="B21" s="6">
        <v>211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0.98</v>
      </c>
      <c r="J21" s="6">
        <v>0.63</v>
      </c>
      <c r="K21" s="6">
        <v>60</v>
      </c>
      <c r="L21" s="6"/>
      <c r="M21" s="6">
        <v>1</v>
      </c>
      <c r="N21" s="6">
        <v>41</v>
      </c>
      <c r="O21" s="6">
        <f t="shared" si="0"/>
        <v>133.85365853658536</v>
      </c>
      <c r="P21" s="6"/>
      <c r="Q21" s="6"/>
      <c r="R21" s="6"/>
      <c r="S21" s="6"/>
    </row>
    <row r="22" spans="2:19" x14ac:dyDescent="0.2">
      <c r="B22" s="7">
        <v>212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0.98</v>
      </c>
      <c r="J22" s="7">
        <v>0.63</v>
      </c>
      <c r="K22" s="7">
        <v>60</v>
      </c>
      <c r="L22" s="7"/>
      <c r="M22" s="7">
        <v>1</v>
      </c>
      <c r="N22" s="7">
        <v>25</v>
      </c>
      <c r="O22" s="7">
        <f t="shared" si="0"/>
        <v>219.51999999999998</v>
      </c>
      <c r="P22" s="7"/>
      <c r="Q22" s="7"/>
      <c r="R22" s="7"/>
      <c r="S22" s="7"/>
    </row>
    <row r="23" spans="2:19" x14ac:dyDescent="0.2">
      <c r="B23" s="7">
        <v>213</v>
      </c>
      <c r="C23" s="7" t="s">
        <v>27</v>
      </c>
      <c r="D23" s="7" t="s">
        <v>28</v>
      </c>
      <c r="E23" s="7" t="s">
        <v>29</v>
      </c>
      <c r="F23" s="7"/>
      <c r="G23" s="7" t="s">
        <v>30</v>
      </c>
      <c r="H23" s="7">
        <v>0.98</v>
      </c>
      <c r="I23" s="7">
        <v>0.98</v>
      </c>
      <c r="J23" s="7">
        <v>0.63</v>
      </c>
      <c r="K23" s="7">
        <v>60</v>
      </c>
      <c r="L23" s="7"/>
      <c r="M23" s="7">
        <v>1</v>
      </c>
      <c r="N23" s="7">
        <v>18</v>
      </c>
      <c r="O23" s="7">
        <f t="shared" si="0"/>
        <v>304.88888888888891</v>
      </c>
      <c r="P23" s="7"/>
      <c r="Q23" s="7"/>
      <c r="R23" s="7"/>
      <c r="S23" s="7"/>
    </row>
    <row r="24" spans="2:19" x14ac:dyDescent="0.2">
      <c r="B24" s="7">
        <v>214</v>
      </c>
      <c r="C24" s="7" t="s">
        <v>27</v>
      </c>
      <c r="D24" s="7" t="s">
        <v>28</v>
      </c>
      <c r="E24" s="7" t="s">
        <v>29</v>
      </c>
      <c r="F24" s="7"/>
      <c r="G24" s="7" t="s">
        <v>30</v>
      </c>
      <c r="H24" s="7">
        <v>0.98</v>
      </c>
      <c r="I24" s="7">
        <v>0.98</v>
      </c>
      <c r="J24" s="7">
        <v>0.63</v>
      </c>
      <c r="K24" s="7">
        <v>60</v>
      </c>
      <c r="L24" s="7"/>
      <c r="M24" s="7">
        <v>1</v>
      </c>
      <c r="N24" s="7">
        <v>19</v>
      </c>
      <c r="O24" s="7">
        <f t="shared" si="0"/>
        <v>288.84210526315786</v>
      </c>
      <c r="P24" s="7"/>
      <c r="Q24" s="7"/>
      <c r="R24" s="7"/>
      <c r="S24" s="7"/>
    </row>
    <row r="25" spans="2:19" ht="16.5" customHeight="1" thickBot="1" x14ac:dyDescent="0.25">
      <c r="B25" s="8">
        <v>215</v>
      </c>
      <c r="C25" s="8" t="s">
        <v>27</v>
      </c>
      <c r="D25" s="8" t="s">
        <v>28</v>
      </c>
      <c r="E25" s="8" t="s">
        <v>29</v>
      </c>
      <c r="F25" s="8"/>
      <c r="G25" s="8" t="s">
        <v>30</v>
      </c>
      <c r="H25" s="8">
        <v>0.98</v>
      </c>
      <c r="I25" s="8">
        <v>0.98</v>
      </c>
      <c r="J25" s="8">
        <v>0.63</v>
      </c>
      <c r="K25" s="8">
        <v>60</v>
      </c>
      <c r="L25" s="8"/>
      <c r="M25" s="8">
        <v>1</v>
      </c>
      <c r="N25" s="8">
        <v>21</v>
      </c>
      <c r="O25" s="8">
        <f t="shared" si="0"/>
        <v>261.33333333333331</v>
      </c>
      <c r="P25" s="8"/>
      <c r="Q25" s="8"/>
      <c r="R25" s="8"/>
      <c r="S25" s="8"/>
    </row>
    <row r="26" spans="2:19" x14ac:dyDescent="0.2">
      <c r="B26" s="6">
        <v>216</v>
      </c>
      <c r="C26" s="6" t="s">
        <v>27</v>
      </c>
      <c r="D26" s="6" t="s">
        <v>28</v>
      </c>
      <c r="E26" s="6" t="s">
        <v>29</v>
      </c>
      <c r="F26" s="6"/>
      <c r="G26" s="6" t="s">
        <v>30</v>
      </c>
      <c r="H26" s="6">
        <v>0.98</v>
      </c>
      <c r="I26" s="6">
        <v>0.98</v>
      </c>
      <c r="J26" s="6">
        <v>0.63</v>
      </c>
      <c r="K26" s="6">
        <v>60</v>
      </c>
      <c r="L26" s="6"/>
      <c r="M26" s="6">
        <v>1</v>
      </c>
      <c r="N26" s="6">
        <v>18</v>
      </c>
      <c r="O26" s="6">
        <f t="shared" si="0"/>
        <v>304.88888888888891</v>
      </c>
      <c r="P26" s="6"/>
      <c r="Q26" s="6"/>
      <c r="R26" s="6"/>
      <c r="S26" s="6"/>
    </row>
    <row r="27" spans="2:19" x14ac:dyDescent="0.2">
      <c r="B27" s="7">
        <v>217</v>
      </c>
      <c r="C27" s="7" t="s">
        <v>27</v>
      </c>
      <c r="D27" s="7" t="s">
        <v>28</v>
      </c>
      <c r="E27" s="7" t="s">
        <v>29</v>
      </c>
      <c r="F27" s="7"/>
      <c r="G27" s="7" t="s">
        <v>30</v>
      </c>
      <c r="H27" s="7">
        <v>0.98</v>
      </c>
      <c r="I27" s="7">
        <v>0.98</v>
      </c>
      <c r="J27" s="7">
        <v>0.63</v>
      </c>
      <c r="K27" s="7">
        <v>60</v>
      </c>
      <c r="L27" s="7"/>
      <c r="M27" s="7">
        <v>1</v>
      </c>
      <c r="N27" s="7">
        <v>18</v>
      </c>
      <c r="O27" s="7">
        <f t="shared" si="0"/>
        <v>304.88888888888891</v>
      </c>
      <c r="P27" s="7"/>
      <c r="Q27" s="7"/>
      <c r="R27" s="7"/>
      <c r="S27" s="7"/>
    </row>
    <row r="28" spans="2:19" x14ac:dyDescent="0.2">
      <c r="B28" s="7">
        <v>218</v>
      </c>
      <c r="C28" s="7" t="s">
        <v>27</v>
      </c>
      <c r="D28" s="7" t="s">
        <v>28</v>
      </c>
      <c r="E28" s="7" t="s">
        <v>29</v>
      </c>
      <c r="F28" s="7"/>
      <c r="G28" s="7" t="s">
        <v>30</v>
      </c>
      <c r="H28" s="7">
        <v>0.98</v>
      </c>
      <c r="I28" s="7">
        <v>0.98</v>
      </c>
      <c r="J28" s="7">
        <v>0.63</v>
      </c>
      <c r="K28" s="7">
        <v>60</v>
      </c>
      <c r="L28" s="7"/>
      <c r="M28" s="7">
        <v>1</v>
      </c>
      <c r="N28" s="7">
        <v>32</v>
      </c>
      <c r="O28" s="7">
        <f t="shared" si="0"/>
        <v>171.5</v>
      </c>
      <c r="P28" s="7"/>
      <c r="Q28" s="7"/>
      <c r="R28" s="7"/>
      <c r="S28" s="7"/>
    </row>
    <row r="29" spans="2:19" x14ac:dyDescent="0.2">
      <c r="B29" s="7">
        <v>219</v>
      </c>
      <c r="C29" s="7" t="s">
        <v>27</v>
      </c>
      <c r="D29" s="7" t="s">
        <v>28</v>
      </c>
      <c r="E29" s="7" t="s">
        <v>29</v>
      </c>
      <c r="F29" s="7"/>
      <c r="G29" s="7" t="s">
        <v>30</v>
      </c>
      <c r="H29" s="7">
        <v>0.98</v>
      </c>
      <c r="I29" s="7">
        <v>0.98</v>
      </c>
      <c r="J29" s="7">
        <v>0.63</v>
      </c>
      <c r="K29" s="7">
        <v>60</v>
      </c>
      <c r="L29" s="7"/>
      <c r="M29" s="7">
        <v>1</v>
      </c>
      <c r="N29" s="7">
        <v>23</v>
      </c>
      <c r="O29" s="7">
        <f t="shared" si="0"/>
        <v>238.60869565217391</v>
      </c>
      <c r="P29" s="7"/>
      <c r="Q29" s="7"/>
      <c r="R29" s="7"/>
      <c r="S29" s="7"/>
    </row>
    <row r="30" spans="2:19" ht="16.5" customHeight="1" thickBot="1" x14ac:dyDescent="0.25">
      <c r="B30" s="8">
        <v>220</v>
      </c>
      <c r="C30" s="8" t="s">
        <v>27</v>
      </c>
      <c r="D30" s="8" t="s">
        <v>28</v>
      </c>
      <c r="E30" s="8" t="s">
        <v>29</v>
      </c>
      <c r="F30" s="8"/>
      <c r="G30" s="8" t="s">
        <v>30</v>
      </c>
      <c r="H30" s="8">
        <v>0.98</v>
      </c>
      <c r="I30" s="8">
        <v>0.98</v>
      </c>
      <c r="J30" s="8">
        <v>0.63</v>
      </c>
      <c r="K30" s="8">
        <v>60</v>
      </c>
      <c r="L30" s="8"/>
      <c r="M30" s="8">
        <v>1</v>
      </c>
      <c r="N30" s="8">
        <v>305</v>
      </c>
      <c r="O30" s="8">
        <f t="shared" si="0"/>
        <v>17.99344262295082</v>
      </c>
      <c r="P30" s="8"/>
      <c r="Q30" s="8"/>
      <c r="R30" s="8"/>
      <c r="S30" s="8"/>
    </row>
    <row r="31" spans="2:19" x14ac:dyDescent="0.2">
      <c r="B31" s="6">
        <v>221</v>
      </c>
      <c r="C31" s="6" t="s">
        <v>27</v>
      </c>
      <c r="D31" s="6" t="s">
        <v>28</v>
      </c>
      <c r="E31" s="6" t="s">
        <v>29</v>
      </c>
      <c r="F31" s="6"/>
      <c r="G31" s="6" t="s">
        <v>30</v>
      </c>
      <c r="H31" s="6">
        <v>0.98</v>
      </c>
      <c r="I31" s="6">
        <v>0.98</v>
      </c>
      <c r="J31" s="6">
        <v>0.63</v>
      </c>
      <c r="K31" s="6">
        <v>60</v>
      </c>
      <c r="L31" s="6"/>
      <c r="M31" s="6">
        <v>1</v>
      </c>
      <c r="N31" s="6">
        <v>26</v>
      </c>
      <c r="O31" s="6">
        <f t="shared" si="0"/>
        <v>211.07692307692309</v>
      </c>
      <c r="P31" s="6"/>
      <c r="Q31" s="6"/>
      <c r="R31" s="6"/>
      <c r="S31" s="6"/>
    </row>
    <row r="32" spans="2:19" x14ac:dyDescent="0.2">
      <c r="B32" s="7">
        <v>222</v>
      </c>
      <c r="C32" s="7" t="s">
        <v>27</v>
      </c>
      <c r="D32" s="7" t="s">
        <v>28</v>
      </c>
      <c r="E32" s="7" t="s">
        <v>29</v>
      </c>
      <c r="F32" s="7"/>
      <c r="G32" s="7" t="s">
        <v>30</v>
      </c>
      <c r="H32" s="7">
        <v>0.98</v>
      </c>
      <c r="I32" s="7">
        <v>0.98</v>
      </c>
      <c r="J32" s="7">
        <v>0.63</v>
      </c>
      <c r="K32" s="7">
        <v>60</v>
      </c>
      <c r="L32" s="7"/>
      <c r="M32" s="7">
        <v>1</v>
      </c>
      <c r="N32" s="7">
        <v>20</v>
      </c>
      <c r="O32" s="7">
        <f t="shared" si="0"/>
        <v>274.39999999999998</v>
      </c>
      <c r="P32" s="7"/>
      <c r="Q32" s="7"/>
      <c r="R32" s="7"/>
      <c r="S32" s="7"/>
    </row>
    <row r="33" spans="2:19" x14ac:dyDescent="0.2">
      <c r="B33" s="7">
        <v>223</v>
      </c>
      <c r="C33" s="7" t="s">
        <v>27</v>
      </c>
      <c r="D33" s="7" t="s">
        <v>28</v>
      </c>
      <c r="E33" s="7" t="s">
        <v>29</v>
      </c>
      <c r="F33" s="7"/>
      <c r="G33" s="7" t="s">
        <v>30</v>
      </c>
      <c r="H33" s="7">
        <v>0.98</v>
      </c>
      <c r="I33" s="7">
        <v>0.98</v>
      </c>
      <c r="J33" s="7">
        <v>0.63</v>
      </c>
      <c r="K33" s="7">
        <v>60</v>
      </c>
      <c r="L33" s="7"/>
      <c r="M33" s="7">
        <v>1</v>
      </c>
      <c r="N33" s="7">
        <v>19</v>
      </c>
      <c r="O33" s="7">
        <f t="shared" si="0"/>
        <v>288.84210526315786</v>
      </c>
      <c r="P33" s="7"/>
      <c r="Q33" s="7"/>
      <c r="R33" s="7"/>
      <c r="S33" s="7"/>
    </row>
    <row r="34" spans="2:19" x14ac:dyDescent="0.2">
      <c r="B34" s="7">
        <v>224</v>
      </c>
      <c r="C34" s="7" t="s">
        <v>27</v>
      </c>
      <c r="D34" s="7" t="s">
        <v>28</v>
      </c>
      <c r="E34" s="7" t="s">
        <v>29</v>
      </c>
      <c r="F34" s="7"/>
      <c r="G34" s="7" t="s">
        <v>30</v>
      </c>
      <c r="H34" s="7">
        <v>0.98</v>
      </c>
      <c r="I34" s="7">
        <v>0.98</v>
      </c>
      <c r="J34" s="7">
        <v>0.63</v>
      </c>
      <c r="K34" s="7">
        <v>60</v>
      </c>
      <c r="L34" s="7"/>
      <c r="M34" s="7">
        <v>1</v>
      </c>
      <c r="N34" s="7">
        <v>17</v>
      </c>
      <c r="O34" s="7">
        <f t="shared" si="0"/>
        <v>322.8235294117647</v>
      </c>
      <c r="P34" s="7"/>
      <c r="Q34" s="7"/>
      <c r="R34" s="7"/>
      <c r="S34" s="7"/>
    </row>
    <row r="35" spans="2:19" ht="16.5" customHeight="1" thickBot="1" x14ac:dyDescent="0.25">
      <c r="B35" s="8">
        <v>225</v>
      </c>
      <c r="C35" s="8" t="s">
        <v>27</v>
      </c>
      <c r="D35" s="8" t="s">
        <v>28</v>
      </c>
      <c r="E35" s="8" t="s">
        <v>29</v>
      </c>
      <c r="F35" s="8"/>
      <c r="G35" s="8" t="s">
        <v>30</v>
      </c>
      <c r="H35" s="8">
        <v>0.98</v>
      </c>
      <c r="I35" s="8">
        <v>0.98</v>
      </c>
      <c r="J35" s="8">
        <v>0.63</v>
      </c>
      <c r="K35" s="8">
        <v>60</v>
      </c>
      <c r="L35" s="8"/>
      <c r="M35" s="8">
        <v>1</v>
      </c>
      <c r="N35" s="8">
        <v>20</v>
      </c>
      <c r="O35" s="8">
        <f t="shared" si="0"/>
        <v>274.39999999999998</v>
      </c>
      <c r="P35" s="8"/>
      <c r="Q35" s="8"/>
      <c r="R35" s="8"/>
      <c r="S35" s="8"/>
    </row>
    <row r="36" spans="2:19" x14ac:dyDescent="0.2">
      <c r="B36" s="6">
        <v>226</v>
      </c>
      <c r="C36" s="6" t="s">
        <v>27</v>
      </c>
      <c r="D36" s="6" t="s">
        <v>28</v>
      </c>
      <c r="E36" s="6" t="s">
        <v>29</v>
      </c>
      <c r="F36" s="6"/>
      <c r="G36" s="6" t="s">
        <v>30</v>
      </c>
      <c r="H36" s="6">
        <v>0.98</v>
      </c>
      <c r="I36" s="6">
        <v>0.98</v>
      </c>
      <c r="J36" s="6">
        <v>0.63</v>
      </c>
      <c r="K36" s="6">
        <v>60</v>
      </c>
      <c r="L36" s="6"/>
      <c r="M36" s="6">
        <v>1</v>
      </c>
      <c r="N36" s="6">
        <v>22</v>
      </c>
      <c r="O36" s="6">
        <f t="shared" si="0"/>
        <v>249.45454545454547</v>
      </c>
      <c r="P36" s="6"/>
      <c r="Q36" s="6"/>
      <c r="R36" s="6"/>
      <c r="S36" s="6"/>
    </row>
    <row r="37" spans="2:19" x14ac:dyDescent="0.2">
      <c r="B37" s="7">
        <v>227</v>
      </c>
      <c r="C37" s="7" t="s">
        <v>27</v>
      </c>
      <c r="D37" s="7" t="s">
        <v>28</v>
      </c>
      <c r="E37" s="7" t="s">
        <v>29</v>
      </c>
      <c r="F37" s="7"/>
      <c r="G37" s="7" t="s">
        <v>30</v>
      </c>
      <c r="H37" s="7">
        <v>0.98</v>
      </c>
      <c r="I37" s="7">
        <v>0.98</v>
      </c>
      <c r="J37" s="7">
        <v>0.63</v>
      </c>
      <c r="K37" s="7">
        <v>60</v>
      </c>
      <c r="L37" s="7"/>
      <c r="M37" s="7">
        <v>1</v>
      </c>
      <c r="N37" s="7">
        <v>19</v>
      </c>
      <c r="O37" s="7">
        <f t="shared" si="0"/>
        <v>288.84210526315786</v>
      </c>
      <c r="P37" s="7"/>
      <c r="Q37" s="7"/>
      <c r="R37" s="7"/>
      <c r="S37" s="7"/>
    </row>
    <row r="38" spans="2:19" x14ac:dyDescent="0.2">
      <c r="B38" s="7">
        <v>228</v>
      </c>
      <c r="C38" s="7" t="s">
        <v>27</v>
      </c>
      <c r="D38" s="7" t="s">
        <v>28</v>
      </c>
      <c r="E38" s="7" t="s">
        <v>29</v>
      </c>
      <c r="F38" s="7"/>
      <c r="G38" s="7" t="s">
        <v>30</v>
      </c>
      <c r="H38" s="7">
        <v>0.98</v>
      </c>
      <c r="I38" s="7">
        <v>0.69</v>
      </c>
      <c r="J38" s="7">
        <v>0.63</v>
      </c>
      <c r="K38" s="7">
        <v>60</v>
      </c>
      <c r="L38" s="7"/>
      <c r="M38" s="7">
        <v>1</v>
      </c>
      <c r="N38" s="7">
        <v>21</v>
      </c>
      <c r="O38" s="7">
        <f t="shared" si="0"/>
        <v>183.99999999999997</v>
      </c>
      <c r="P38" s="7"/>
      <c r="Q38" s="7"/>
      <c r="R38" s="7"/>
      <c r="S38" s="7"/>
    </row>
    <row r="39" spans="2:19" x14ac:dyDescent="0.2">
      <c r="B39" s="7">
        <v>229</v>
      </c>
      <c r="C39" s="7" t="s">
        <v>27</v>
      </c>
      <c r="D39" s="7" t="s">
        <v>28</v>
      </c>
      <c r="E39" s="7" t="s">
        <v>29</v>
      </c>
      <c r="F39" s="7"/>
      <c r="G39" s="7" t="s">
        <v>30</v>
      </c>
      <c r="H39" s="7">
        <v>0.98</v>
      </c>
      <c r="I39" s="7">
        <v>0.86</v>
      </c>
      <c r="J39" s="7">
        <v>0.63</v>
      </c>
      <c r="K39" s="7">
        <v>60</v>
      </c>
      <c r="L39" s="7"/>
      <c r="M39" s="7">
        <v>1</v>
      </c>
      <c r="N39" s="7">
        <v>18</v>
      </c>
      <c r="O39" s="7">
        <f t="shared" si="0"/>
        <v>267.55555555555554</v>
      </c>
      <c r="P39" s="7"/>
      <c r="Q39" s="7"/>
      <c r="R39" s="7"/>
      <c r="S39" s="7"/>
    </row>
    <row r="40" spans="2:19" ht="16.5" customHeight="1" thickBot="1" x14ac:dyDescent="0.25">
      <c r="B40" s="8">
        <v>230</v>
      </c>
      <c r="C40" s="8" t="s">
        <v>27</v>
      </c>
      <c r="D40" s="8" t="s">
        <v>28</v>
      </c>
      <c r="E40" s="8" t="s">
        <v>29</v>
      </c>
      <c r="F40" s="8"/>
      <c r="G40" s="8" t="s">
        <v>30</v>
      </c>
      <c r="H40" s="8">
        <v>0.98</v>
      </c>
      <c r="I40" s="8">
        <v>0.98</v>
      </c>
      <c r="J40" s="8">
        <v>0.63</v>
      </c>
      <c r="K40" s="8">
        <v>60</v>
      </c>
      <c r="L40" s="8"/>
      <c r="M40" s="8">
        <v>1</v>
      </c>
      <c r="N40" s="8">
        <v>147</v>
      </c>
      <c r="O40" s="8">
        <f t="shared" si="0"/>
        <v>37.333333333333329</v>
      </c>
      <c r="P40" s="8"/>
      <c r="Q40" s="8"/>
      <c r="R40" s="8"/>
      <c r="S40" s="8"/>
    </row>
    <row r="41" spans="2:19" x14ac:dyDescent="0.2">
      <c r="B41" s="6">
        <v>231</v>
      </c>
      <c r="C41" s="6" t="s">
        <v>27</v>
      </c>
      <c r="D41" s="6" t="s">
        <v>28</v>
      </c>
      <c r="E41" s="6" t="s">
        <v>29</v>
      </c>
      <c r="F41" s="6"/>
      <c r="G41" s="6" t="s">
        <v>30</v>
      </c>
      <c r="H41" s="6">
        <v>0.98</v>
      </c>
      <c r="I41" s="6">
        <v>0.98</v>
      </c>
      <c r="J41" s="6">
        <v>0.63</v>
      </c>
      <c r="K41" s="6">
        <v>60</v>
      </c>
      <c r="L41" s="6"/>
      <c r="M41" s="6">
        <v>1</v>
      </c>
      <c r="N41" s="6">
        <v>16</v>
      </c>
      <c r="O41" s="6">
        <f t="shared" si="0"/>
        <v>343</v>
      </c>
      <c r="P41" s="6"/>
      <c r="Q41" s="6"/>
      <c r="R41" s="6"/>
      <c r="S41" s="6"/>
    </row>
    <row r="42" spans="2:19" x14ac:dyDescent="0.2">
      <c r="B42" s="7">
        <v>232</v>
      </c>
      <c r="C42" s="7" t="s">
        <v>27</v>
      </c>
      <c r="D42" s="7" t="s">
        <v>28</v>
      </c>
      <c r="E42" s="7" t="s">
        <v>29</v>
      </c>
      <c r="F42" s="7"/>
      <c r="G42" s="7" t="s">
        <v>30</v>
      </c>
      <c r="H42" s="7">
        <v>0.98</v>
      </c>
      <c r="I42" s="7">
        <v>0.98</v>
      </c>
      <c r="J42" s="7">
        <v>0.63</v>
      </c>
      <c r="K42" s="7">
        <v>60</v>
      </c>
      <c r="L42" s="7"/>
      <c r="M42" s="7">
        <v>1</v>
      </c>
      <c r="N42" s="7">
        <v>19</v>
      </c>
      <c r="O42" s="7">
        <f t="shared" si="0"/>
        <v>288.84210526315786</v>
      </c>
      <c r="P42" s="7"/>
      <c r="Q42" s="7"/>
      <c r="R42" s="7"/>
      <c r="S42" s="7"/>
    </row>
    <row r="43" spans="2:19" x14ac:dyDescent="0.2">
      <c r="B43" s="7">
        <v>233</v>
      </c>
      <c r="C43" s="7" t="s">
        <v>27</v>
      </c>
      <c r="D43" s="7" t="s">
        <v>28</v>
      </c>
      <c r="E43" s="7" t="s">
        <v>29</v>
      </c>
      <c r="F43" s="7"/>
      <c r="G43" s="7" t="s">
        <v>30</v>
      </c>
      <c r="H43" s="7">
        <v>0.98</v>
      </c>
      <c r="I43" s="7">
        <v>0.98</v>
      </c>
      <c r="J43" s="7">
        <v>0.63</v>
      </c>
      <c r="K43" s="7">
        <v>60</v>
      </c>
      <c r="L43" s="7"/>
      <c r="M43" s="7">
        <v>1</v>
      </c>
      <c r="N43" s="7">
        <v>19</v>
      </c>
      <c r="O43" s="7">
        <f t="shared" ref="O43:O74" si="1">3600*M43*H43*I43*K43/(J43*N43*60)</f>
        <v>288.84210526315786</v>
      </c>
      <c r="P43" s="7"/>
      <c r="Q43" s="7"/>
      <c r="R43" s="7"/>
      <c r="S43" s="7"/>
    </row>
    <row r="44" spans="2:19" x14ac:dyDescent="0.2">
      <c r="B44" s="7">
        <v>234</v>
      </c>
      <c r="C44" s="7" t="s">
        <v>27</v>
      </c>
      <c r="D44" s="7" t="s">
        <v>28</v>
      </c>
      <c r="E44" s="7" t="s">
        <v>29</v>
      </c>
      <c r="F44" s="7"/>
      <c r="G44" s="7" t="s">
        <v>30</v>
      </c>
      <c r="H44" s="7">
        <v>0.98</v>
      </c>
      <c r="I44" s="7">
        <v>0.98</v>
      </c>
      <c r="J44" s="7">
        <v>0.63</v>
      </c>
      <c r="K44" s="7">
        <v>60</v>
      </c>
      <c r="L44" s="7"/>
      <c r="M44" s="7">
        <v>1</v>
      </c>
      <c r="N44" s="7">
        <v>18</v>
      </c>
      <c r="O44" s="7">
        <f t="shared" si="1"/>
        <v>304.88888888888891</v>
      </c>
      <c r="P44" s="7"/>
      <c r="Q44" s="7"/>
      <c r="R44" s="7"/>
      <c r="S44" s="7"/>
    </row>
    <row r="45" spans="2:19" ht="16.5" customHeight="1" thickBot="1" x14ac:dyDescent="0.25">
      <c r="B45" s="8">
        <v>235</v>
      </c>
      <c r="C45" s="8" t="s">
        <v>27</v>
      </c>
      <c r="D45" s="8" t="s">
        <v>28</v>
      </c>
      <c r="E45" s="8" t="s">
        <v>29</v>
      </c>
      <c r="F45" s="8"/>
      <c r="G45" s="8" t="s">
        <v>30</v>
      </c>
      <c r="H45" s="8">
        <v>0.98</v>
      </c>
      <c r="I45" s="8">
        <v>0.98</v>
      </c>
      <c r="J45" s="8">
        <v>0.63</v>
      </c>
      <c r="K45" s="8">
        <v>60</v>
      </c>
      <c r="L45" s="8"/>
      <c r="M45" s="8">
        <v>1</v>
      </c>
      <c r="N45" s="8">
        <v>20</v>
      </c>
      <c r="O45" s="8">
        <f t="shared" si="1"/>
        <v>274.39999999999998</v>
      </c>
      <c r="P45" s="8"/>
      <c r="Q45" s="8"/>
      <c r="R45" s="8"/>
      <c r="S45" s="8"/>
    </row>
    <row r="46" spans="2:19" x14ac:dyDescent="0.2">
      <c r="B46" s="6">
        <v>236</v>
      </c>
      <c r="C46" s="6" t="s">
        <v>27</v>
      </c>
      <c r="D46" s="6" t="s">
        <v>28</v>
      </c>
      <c r="E46" s="6" t="s">
        <v>29</v>
      </c>
      <c r="F46" s="6"/>
      <c r="G46" s="6" t="s">
        <v>30</v>
      </c>
      <c r="H46" s="6">
        <v>0.98</v>
      </c>
      <c r="I46" s="6">
        <v>0.98</v>
      </c>
      <c r="J46" s="6">
        <v>0.63</v>
      </c>
      <c r="K46" s="6">
        <v>60</v>
      </c>
      <c r="L46" s="6"/>
      <c r="M46" s="6">
        <v>1</v>
      </c>
      <c r="N46" s="6">
        <v>21</v>
      </c>
      <c r="O46" s="6">
        <f t="shared" si="1"/>
        <v>261.33333333333331</v>
      </c>
      <c r="P46" s="6"/>
      <c r="Q46" s="6"/>
      <c r="R46" s="6"/>
      <c r="S46" s="6"/>
    </row>
    <row r="47" spans="2:19" x14ac:dyDescent="0.2">
      <c r="B47" s="7">
        <v>237</v>
      </c>
      <c r="C47" s="7" t="s">
        <v>27</v>
      </c>
      <c r="D47" s="7" t="s">
        <v>28</v>
      </c>
      <c r="E47" s="7" t="s">
        <v>29</v>
      </c>
      <c r="F47" s="7"/>
      <c r="G47" s="7" t="s">
        <v>30</v>
      </c>
      <c r="H47" s="7">
        <v>0.98</v>
      </c>
      <c r="I47" s="7">
        <v>1.22</v>
      </c>
      <c r="J47" s="7">
        <v>0.63</v>
      </c>
      <c r="K47" s="7">
        <v>60</v>
      </c>
      <c r="L47" s="7"/>
      <c r="M47" s="7">
        <v>1</v>
      </c>
      <c r="N47" s="7">
        <v>16</v>
      </c>
      <c r="O47" s="7">
        <f t="shared" si="1"/>
        <v>427</v>
      </c>
      <c r="P47" s="7"/>
      <c r="Q47" s="7"/>
      <c r="R47" s="7"/>
      <c r="S47" s="7"/>
    </row>
    <row r="48" spans="2:19" x14ac:dyDescent="0.2">
      <c r="B48" s="7">
        <v>238</v>
      </c>
      <c r="C48" s="7" t="s">
        <v>27</v>
      </c>
      <c r="D48" s="7" t="s">
        <v>28</v>
      </c>
      <c r="E48" s="7" t="s">
        <v>29</v>
      </c>
      <c r="F48" s="7"/>
      <c r="G48" s="7" t="s">
        <v>30</v>
      </c>
      <c r="H48" s="7">
        <v>0.98</v>
      </c>
      <c r="I48" s="7">
        <v>1.22</v>
      </c>
      <c r="J48" s="7">
        <v>0.63</v>
      </c>
      <c r="K48" s="7">
        <v>60</v>
      </c>
      <c r="L48" s="7"/>
      <c r="M48" s="7">
        <v>1</v>
      </c>
      <c r="N48" s="7">
        <v>22</v>
      </c>
      <c r="O48" s="7">
        <f t="shared" si="1"/>
        <v>310.54545454545456</v>
      </c>
      <c r="P48" s="7"/>
      <c r="Q48" s="7"/>
      <c r="R48" s="7"/>
      <c r="S48" s="7"/>
    </row>
    <row r="49" spans="2:19" x14ac:dyDescent="0.2">
      <c r="B49" s="7">
        <v>239</v>
      </c>
      <c r="C49" s="7" t="s">
        <v>27</v>
      </c>
      <c r="D49" s="7" t="s">
        <v>28</v>
      </c>
      <c r="E49" s="7" t="s">
        <v>29</v>
      </c>
      <c r="F49" s="7"/>
      <c r="G49" s="7" t="s">
        <v>30</v>
      </c>
      <c r="H49" s="7">
        <v>0.98</v>
      </c>
      <c r="I49" s="7">
        <v>0.98</v>
      </c>
      <c r="J49" s="7">
        <v>0.63</v>
      </c>
      <c r="K49" s="7">
        <v>60</v>
      </c>
      <c r="L49" s="7"/>
      <c r="M49" s="7">
        <v>1</v>
      </c>
      <c r="N49" s="7">
        <v>85</v>
      </c>
      <c r="O49" s="7">
        <f t="shared" si="1"/>
        <v>64.564705882352939</v>
      </c>
      <c r="P49" s="7"/>
      <c r="Q49" s="7"/>
      <c r="R49" s="7"/>
      <c r="S49" s="7"/>
    </row>
    <row r="50" spans="2:19" ht="16.5" customHeight="1" thickBot="1" x14ac:dyDescent="0.25">
      <c r="B50" s="8">
        <v>240</v>
      </c>
      <c r="C50" s="8" t="s">
        <v>27</v>
      </c>
      <c r="D50" s="8" t="s">
        <v>28</v>
      </c>
      <c r="E50" s="8" t="s">
        <v>29</v>
      </c>
      <c r="F50" s="8"/>
      <c r="G50" s="8" t="s">
        <v>30</v>
      </c>
      <c r="H50" s="8">
        <v>0.98</v>
      </c>
      <c r="I50" s="8">
        <v>0.98</v>
      </c>
      <c r="J50" s="8">
        <v>0.63</v>
      </c>
      <c r="K50" s="8">
        <v>60</v>
      </c>
      <c r="L50" s="8"/>
      <c r="M50" s="8">
        <v>1</v>
      </c>
      <c r="N50" s="8">
        <v>21</v>
      </c>
      <c r="O50" s="8">
        <f t="shared" si="1"/>
        <v>261.33333333333331</v>
      </c>
      <c r="P50" s="8"/>
      <c r="Q50" s="8"/>
      <c r="R50" s="8"/>
      <c r="S50" s="8"/>
    </row>
    <row r="51" spans="2:19" x14ac:dyDescent="0.2">
      <c r="B51" s="6">
        <v>241</v>
      </c>
      <c r="C51" s="6" t="s">
        <v>27</v>
      </c>
      <c r="D51" s="6" t="s">
        <v>28</v>
      </c>
      <c r="E51" s="6" t="s">
        <v>29</v>
      </c>
      <c r="F51" s="6"/>
      <c r="G51" s="6" t="s">
        <v>30</v>
      </c>
      <c r="H51" s="6">
        <v>0.98</v>
      </c>
      <c r="I51" s="6">
        <v>0.86</v>
      </c>
      <c r="J51" s="6">
        <v>0.63</v>
      </c>
      <c r="K51" s="6">
        <v>60</v>
      </c>
      <c r="L51" s="6"/>
      <c r="M51" s="6">
        <v>1</v>
      </c>
      <c r="N51" s="6">
        <v>20</v>
      </c>
      <c r="O51" s="6">
        <f t="shared" si="1"/>
        <v>240.79999999999998</v>
      </c>
      <c r="P51" s="6"/>
      <c r="Q51" s="6"/>
      <c r="R51" s="6"/>
      <c r="S51" s="6"/>
    </row>
    <row r="52" spans="2:19" x14ac:dyDescent="0.2">
      <c r="B52" s="7">
        <v>242</v>
      </c>
      <c r="C52" s="7" t="s">
        <v>27</v>
      </c>
      <c r="D52" s="7" t="s">
        <v>28</v>
      </c>
      <c r="E52" s="7" t="s">
        <v>29</v>
      </c>
      <c r="F52" s="7"/>
      <c r="G52" s="7" t="s">
        <v>30</v>
      </c>
      <c r="H52" s="7">
        <v>0.98</v>
      </c>
      <c r="I52" s="7">
        <v>0.86</v>
      </c>
      <c r="J52" s="7">
        <v>0.63</v>
      </c>
      <c r="K52" s="7">
        <v>60</v>
      </c>
      <c r="L52" s="7"/>
      <c r="M52" s="7">
        <v>1</v>
      </c>
      <c r="N52" s="7">
        <v>20</v>
      </c>
      <c r="O52" s="7">
        <f t="shared" si="1"/>
        <v>240.79999999999998</v>
      </c>
      <c r="P52" s="7"/>
      <c r="Q52" s="7"/>
      <c r="R52" s="7"/>
      <c r="S52" s="7"/>
    </row>
    <row r="53" spans="2:19" x14ac:dyDescent="0.2">
      <c r="B53" s="7">
        <v>243</v>
      </c>
      <c r="C53" s="7" t="s">
        <v>27</v>
      </c>
      <c r="D53" s="7" t="s">
        <v>28</v>
      </c>
      <c r="E53" s="7" t="s">
        <v>29</v>
      </c>
      <c r="F53" s="7"/>
      <c r="G53" s="7" t="s">
        <v>30</v>
      </c>
      <c r="H53" s="7">
        <v>0.98</v>
      </c>
      <c r="I53" s="7">
        <v>0.98</v>
      </c>
      <c r="J53" s="7">
        <v>0.63</v>
      </c>
      <c r="K53" s="7">
        <v>60</v>
      </c>
      <c r="L53" s="7"/>
      <c r="M53" s="7">
        <v>1</v>
      </c>
      <c r="N53" s="7">
        <v>43</v>
      </c>
      <c r="O53" s="7">
        <f t="shared" si="1"/>
        <v>127.62790697674417</v>
      </c>
      <c r="P53" s="7"/>
      <c r="Q53" s="7"/>
      <c r="R53" s="7"/>
      <c r="S53" s="7"/>
    </row>
    <row r="54" spans="2:19" x14ac:dyDescent="0.2">
      <c r="B54" s="7">
        <v>244</v>
      </c>
      <c r="C54" s="7" t="s">
        <v>27</v>
      </c>
      <c r="D54" s="7" t="s">
        <v>28</v>
      </c>
      <c r="E54" s="7" t="s">
        <v>29</v>
      </c>
      <c r="F54" s="7"/>
      <c r="G54" s="7" t="s">
        <v>30</v>
      </c>
      <c r="H54" s="7">
        <v>0.98</v>
      </c>
      <c r="I54" s="7">
        <v>0.98</v>
      </c>
      <c r="J54" s="7">
        <v>0.63</v>
      </c>
      <c r="K54" s="7">
        <v>60</v>
      </c>
      <c r="L54" s="7"/>
      <c r="M54" s="7">
        <v>1</v>
      </c>
      <c r="N54" s="7">
        <v>17</v>
      </c>
      <c r="O54" s="7">
        <f t="shared" si="1"/>
        <v>322.8235294117647</v>
      </c>
      <c r="P54" s="7"/>
      <c r="Q54" s="7"/>
      <c r="R54" s="7"/>
      <c r="S54" s="7"/>
    </row>
    <row r="55" spans="2:19" ht="16.5" customHeight="1" thickBot="1" x14ac:dyDescent="0.25">
      <c r="B55" s="8">
        <v>245</v>
      </c>
      <c r="C55" s="8" t="s">
        <v>27</v>
      </c>
      <c r="D55" s="8" t="s">
        <v>28</v>
      </c>
      <c r="E55" s="8" t="s">
        <v>29</v>
      </c>
      <c r="F55" s="8"/>
      <c r="G55" s="8" t="s">
        <v>30</v>
      </c>
      <c r="H55" s="8">
        <v>0.98</v>
      </c>
      <c r="I55" s="8">
        <v>0.98</v>
      </c>
      <c r="J55" s="8">
        <v>0.63</v>
      </c>
      <c r="K55" s="8">
        <v>60</v>
      </c>
      <c r="L55" s="8"/>
      <c r="M55" s="8">
        <v>1</v>
      </c>
      <c r="N55" s="8">
        <v>18</v>
      </c>
      <c r="O55" s="8">
        <f t="shared" si="1"/>
        <v>304.88888888888891</v>
      </c>
      <c r="P55" s="8"/>
      <c r="Q55" s="8"/>
      <c r="R55" s="8"/>
      <c r="S55" s="8"/>
    </row>
    <row r="56" spans="2:19" x14ac:dyDescent="0.2">
      <c r="B56" s="6">
        <v>246</v>
      </c>
      <c r="C56" s="6" t="s">
        <v>27</v>
      </c>
      <c r="D56" s="6" t="s">
        <v>28</v>
      </c>
      <c r="E56" s="6" t="s">
        <v>29</v>
      </c>
      <c r="F56" s="6"/>
      <c r="G56" s="6" t="s">
        <v>30</v>
      </c>
      <c r="H56" s="6">
        <v>0.98</v>
      </c>
      <c r="I56" s="6">
        <v>0.98</v>
      </c>
      <c r="J56" s="6">
        <v>0.63</v>
      </c>
      <c r="K56" s="6">
        <v>60</v>
      </c>
      <c r="L56" s="6"/>
      <c r="M56" s="6">
        <v>1</v>
      </c>
      <c r="N56" s="6">
        <v>18</v>
      </c>
      <c r="O56" s="6">
        <f t="shared" si="1"/>
        <v>304.88888888888891</v>
      </c>
      <c r="P56" s="6"/>
      <c r="Q56" s="6"/>
      <c r="R56" s="6"/>
      <c r="S56" s="6"/>
    </row>
    <row r="57" spans="2:19" x14ac:dyDescent="0.2">
      <c r="B57" s="7">
        <v>247</v>
      </c>
      <c r="C57" s="7" t="s">
        <v>27</v>
      </c>
      <c r="D57" s="7" t="s">
        <v>28</v>
      </c>
      <c r="E57" s="7" t="s">
        <v>29</v>
      </c>
      <c r="F57" s="7"/>
      <c r="G57" s="7" t="s">
        <v>30</v>
      </c>
      <c r="H57" s="7">
        <v>0.98</v>
      </c>
      <c r="I57" s="7">
        <v>0.98</v>
      </c>
      <c r="J57" s="7">
        <v>0.63</v>
      </c>
      <c r="K57" s="7">
        <v>60</v>
      </c>
      <c r="L57" s="7"/>
      <c r="M57" s="7">
        <v>1</v>
      </c>
      <c r="N57" s="7">
        <v>17</v>
      </c>
      <c r="O57" s="7">
        <f t="shared" si="1"/>
        <v>322.8235294117647</v>
      </c>
      <c r="P57" s="7"/>
      <c r="Q57" s="7"/>
      <c r="R57" s="7"/>
      <c r="S57" s="7"/>
    </row>
    <row r="58" spans="2:19" x14ac:dyDescent="0.2">
      <c r="B58" s="7">
        <v>248</v>
      </c>
      <c r="C58" s="7" t="s">
        <v>27</v>
      </c>
      <c r="D58" s="7" t="s">
        <v>28</v>
      </c>
      <c r="E58" s="7" t="s">
        <v>29</v>
      </c>
      <c r="F58" s="7"/>
      <c r="G58" s="7" t="s">
        <v>30</v>
      </c>
      <c r="H58" s="7">
        <v>0.98</v>
      </c>
      <c r="I58" s="7">
        <v>0.98</v>
      </c>
      <c r="J58" s="7">
        <v>0.63</v>
      </c>
      <c r="K58" s="7">
        <v>60</v>
      </c>
      <c r="L58" s="7"/>
      <c r="M58" s="7">
        <v>1</v>
      </c>
      <c r="N58" s="7">
        <v>19</v>
      </c>
      <c r="O58" s="7">
        <f t="shared" si="1"/>
        <v>288.84210526315786</v>
      </c>
      <c r="P58" s="7"/>
      <c r="Q58" s="7"/>
      <c r="R58" s="7"/>
      <c r="S58" s="7"/>
    </row>
    <row r="59" spans="2:19" x14ac:dyDescent="0.2">
      <c r="B59" s="7">
        <v>249</v>
      </c>
      <c r="C59" s="7" t="s">
        <v>27</v>
      </c>
      <c r="D59" s="7" t="s">
        <v>28</v>
      </c>
      <c r="E59" s="7" t="s">
        <v>29</v>
      </c>
      <c r="F59" s="7"/>
      <c r="G59" s="7" t="s">
        <v>30</v>
      </c>
      <c r="H59" s="7">
        <v>0.98</v>
      </c>
      <c r="I59" s="7">
        <v>0.98</v>
      </c>
      <c r="J59" s="7">
        <v>0.63</v>
      </c>
      <c r="K59" s="7">
        <v>60</v>
      </c>
      <c r="L59" s="7"/>
      <c r="M59" s="7">
        <v>1</v>
      </c>
      <c r="N59" s="7">
        <v>102</v>
      </c>
      <c r="O59" s="7">
        <f t="shared" si="1"/>
        <v>53.803921568627445</v>
      </c>
      <c r="P59" s="7"/>
      <c r="Q59" s="7"/>
      <c r="R59" s="7"/>
      <c r="S59" s="7"/>
    </row>
    <row r="60" spans="2:19" ht="16.5" customHeight="1" thickBot="1" x14ac:dyDescent="0.25">
      <c r="B60" s="8">
        <v>250</v>
      </c>
      <c r="C60" s="8" t="s">
        <v>27</v>
      </c>
      <c r="D60" s="8" t="s">
        <v>28</v>
      </c>
      <c r="E60" s="8" t="s">
        <v>29</v>
      </c>
      <c r="F60" s="8"/>
      <c r="G60" s="8" t="s">
        <v>30</v>
      </c>
      <c r="H60" s="8">
        <v>0.98</v>
      </c>
      <c r="I60" s="8">
        <v>0.98</v>
      </c>
      <c r="J60" s="8">
        <v>0.63</v>
      </c>
      <c r="K60" s="8">
        <v>60</v>
      </c>
      <c r="L60" s="8"/>
      <c r="M60" s="8">
        <v>1</v>
      </c>
      <c r="N60" s="8">
        <v>19</v>
      </c>
      <c r="O60" s="8">
        <f t="shared" si="1"/>
        <v>288.84210526315786</v>
      </c>
      <c r="P60" s="8"/>
      <c r="Q60" s="8"/>
      <c r="R60" s="8"/>
      <c r="S60" s="8"/>
    </row>
    <row r="61" spans="2:19" x14ac:dyDescent="0.2">
      <c r="B61" s="6">
        <v>251</v>
      </c>
      <c r="C61" s="6" t="s">
        <v>27</v>
      </c>
      <c r="D61" s="6" t="s">
        <v>28</v>
      </c>
      <c r="E61" s="6" t="s">
        <v>29</v>
      </c>
      <c r="F61" s="6"/>
      <c r="G61" s="6" t="s">
        <v>30</v>
      </c>
      <c r="H61" s="6">
        <v>0.98</v>
      </c>
      <c r="I61" s="6">
        <v>0.98</v>
      </c>
      <c r="J61" s="6">
        <v>0.63</v>
      </c>
      <c r="K61" s="6">
        <v>60</v>
      </c>
      <c r="L61" s="6"/>
      <c r="M61" s="6">
        <v>1</v>
      </c>
      <c r="N61" s="6">
        <v>18</v>
      </c>
      <c r="O61" s="6">
        <f t="shared" si="1"/>
        <v>304.88888888888891</v>
      </c>
      <c r="P61" s="6"/>
      <c r="Q61" s="6"/>
      <c r="R61" s="6"/>
      <c r="S61" s="6"/>
    </row>
    <row r="62" spans="2:19" x14ac:dyDescent="0.2">
      <c r="B62" s="7">
        <v>252</v>
      </c>
      <c r="C62" s="7" t="s">
        <v>27</v>
      </c>
      <c r="D62" s="7" t="s">
        <v>28</v>
      </c>
      <c r="E62" s="7" t="s">
        <v>29</v>
      </c>
      <c r="F62" s="7"/>
      <c r="G62" s="7" t="s">
        <v>30</v>
      </c>
      <c r="H62" s="7">
        <v>0.98</v>
      </c>
      <c r="I62" s="7">
        <v>0.98</v>
      </c>
      <c r="J62" s="7">
        <v>0.63</v>
      </c>
      <c r="K62" s="7">
        <v>60</v>
      </c>
      <c r="L62" s="7"/>
      <c r="M62" s="7">
        <v>1</v>
      </c>
      <c r="N62" s="7">
        <v>16</v>
      </c>
      <c r="O62" s="7">
        <f t="shared" si="1"/>
        <v>343</v>
      </c>
      <c r="P62" s="7"/>
      <c r="Q62" s="7"/>
      <c r="R62" s="7"/>
      <c r="S62" s="7"/>
    </row>
    <row r="63" spans="2:19" x14ac:dyDescent="0.2">
      <c r="B63" s="7">
        <v>253</v>
      </c>
      <c r="C63" s="7" t="s">
        <v>27</v>
      </c>
      <c r="D63" s="7" t="s">
        <v>28</v>
      </c>
      <c r="E63" s="7" t="s">
        <v>29</v>
      </c>
      <c r="F63" s="7"/>
      <c r="G63" s="7" t="s">
        <v>30</v>
      </c>
      <c r="H63" s="7">
        <v>0.98</v>
      </c>
      <c r="I63" s="7">
        <v>0.98</v>
      </c>
      <c r="J63" s="7">
        <v>0.63</v>
      </c>
      <c r="K63" s="7">
        <v>60</v>
      </c>
      <c r="L63" s="7"/>
      <c r="M63" s="7">
        <v>1</v>
      </c>
      <c r="N63" s="7">
        <v>19</v>
      </c>
      <c r="O63" s="7">
        <f t="shared" si="1"/>
        <v>288.84210526315786</v>
      </c>
      <c r="P63" s="7"/>
      <c r="Q63" s="7"/>
      <c r="R63" s="7"/>
      <c r="S63" s="7"/>
    </row>
    <row r="64" spans="2:19" x14ac:dyDescent="0.2">
      <c r="B64" s="7">
        <v>254</v>
      </c>
      <c r="C64" s="7" t="s">
        <v>27</v>
      </c>
      <c r="D64" s="7" t="s">
        <v>28</v>
      </c>
      <c r="E64" s="7" t="s">
        <v>29</v>
      </c>
      <c r="F64" s="7"/>
      <c r="G64" s="7" t="s">
        <v>30</v>
      </c>
      <c r="H64" s="7">
        <v>0.98</v>
      </c>
      <c r="I64" s="7">
        <v>0.98</v>
      </c>
      <c r="J64" s="7">
        <v>0.63</v>
      </c>
      <c r="K64" s="7">
        <v>60</v>
      </c>
      <c r="L64" s="7"/>
      <c r="M64" s="7">
        <v>1</v>
      </c>
      <c r="N64" s="7">
        <v>26</v>
      </c>
      <c r="O64" s="7">
        <f t="shared" si="1"/>
        <v>211.07692307692309</v>
      </c>
      <c r="P64" s="7"/>
      <c r="Q64" s="7"/>
      <c r="R64" s="7"/>
      <c r="S64" s="7"/>
    </row>
    <row r="65" spans="2:19" ht="16.5" customHeight="1" thickBot="1" x14ac:dyDescent="0.25">
      <c r="B65" s="8">
        <v>255</v>
      </c>
      <c r="C65" s="8" t="s">
        <v>27</v>
      </c>
      <c r="D65" s="8" t="s">
        <v>28</v>
      </c>
      <c r="E65" s="8" t="s">
        <v>29</v>
      </c>
      <c r="F65" s="8"/>
      <c r="G65" s="8" t="s">
        <v>30</v>
      </c>
      <c r="H65" s="8">
        <v>0.98</v>
      </c>
      <c r="I65" s="8">
        <v>0.98</v>
      </c>
      <c r="J65" s="8">
        <v>0.63</v>
      </c>
      <c r="K65" s="8">
        <v>60</v>
      </c>
      <c r="L65" s="8"/>
      <c r="M65" s="8">
        <v>1</v>
      </c>
      <c r="N65" s="8">
        <v>18</v>
      </c>
      <c r="O65" s="8">
        <f t="shared" si="1"/>
        <v>304.88888888888891</v>
      </c>
      <c r="P65" s="8"/>
      <c r="Q65" s="8"/>
      <c r="R65" s="8"/>
      <c r="S65" s="8"/>
    </row>
    <row r="66" spans="2:19" x14ac:dyDescent="0.2">
      <c r="B66" s="6">
        <v>256</v>
      </c>
      <c r="C66" s="6" t="s">
        <v>27</v>
      </c>
      <c r="D66" s="6" t="s">
        <v>28</v>
      </c>
      <c r="E66" s="6" t="s">
        <v>29</v>
      </c>
      <c r="F66" s="6"/>
      <c r="G66" s="6" t="s">
        <v>30</v>
      </c>
      <c r="H66" s="6">
        <v>0.98</v>
      </c>
      <c r="I66" s="6">
        <v>0.98</v>
      </c>
      <c r="J66" s="6">
        <v>0.63</v>
      </c>
      <c r="K66" s="6">
        <v>60</v>
      </c>
      <c r="L66" s="6"/>
      <c r="M66" s="6">
        <v>1</v>
      </c>
      <c r="N66" s="6">
        <v>20</v>
      </c>
      <c r="O66" s="6">
        <f t="shared" si="1"/>
        <v>274.39999999999998</v>
      </c>
      <c r="P66" s="6"/>
      <c r="Q66" s="6"/>
      <c r="R66" s="6"/>
      <c r="S66" s="6"/>
    </row>
    <row r="67" spans="2:19" x14ac:dyDescent="0.2">
      <c r="B67" s="7">
        <v>257</v>
      </c>
      <c r="C67" s="7" t="s">
        <v>27</v>
      </c>
      <c r="D67" s="7" t="s">
        <v>28</v>
      </c>
      <c r="E67" s="7" t="s">
        <v>29</v>
      </c>
      <c r="F67" s="7"/>
      <c r="G67" s="7" t="s">
        <v>30</v>
      </c>
      <c r="H67" s="7">
        <v>0.98</v>
      </c>
      <c r="I67" s="7">
        <v>0.98</v>
      </c>
      <c r="J67" s="7">
        <v>0.63</v>
      </c>
      <c r="K67" s="7">
        <v>60</v>
      </c>
      <c r="L67" s="7"/>
      <c r="M67" s="7">
        <v>1</v>
      </c>
      <c r="N67" s="7">
        <v>21</v>
      </c>
      <c r="O67" s="7">
        <f t="shared" si="1"/>
        <v>261.33333333333331</v>
      </c>
      <c r="P67" s="7"/>
      <c r="Q67" s="7"/>
      <c r="R67" s="7"/>
      <c r="S67" s="7"/>
    </row>
    <row r="68" spans="2:19" x14ac:dyDescent="0.2">
      <c r="B68" s="7">
        <v>258</v>
      </c>
      <c r="C68" s="7" t="s">
        <v>27</v>
      </c>
      <c r="D68" s="7" t="s">
        <v>28</v>
      </c>
      <c r="E68" s="7" t="s">
        <v>29</v>
      </c>
      <c r="F68" s="7"/>
      <c r="G68" s="7" t="s">
        <v>30</v>
      </c>
      <c r="H68" s="7">
        <v>0.98</v>
      </c>
      <c r="I68" s="7">
        <v>0.98</v>
      </c>
      <c r="J68" s="7">
        <v>0.63</v>
      </c>
      <c r="K68" s="7">
        <v>60</v>
      </c>
      <c r="L68" s="7"/>
      <c r="M68" s="7">
        <v>1</v>
      </c>
      <c r="N68" s="7">
        <v>20</v>
      </c>
      <c r="O68" s="7">
        <f t="shared" si="1"/>
        <v>274.39999999999998</v>
      </c>
      <c r="P68" s="7"/>
      <c r="Q68" s="7"/>
      <c r="R68" s="7"/>
      <c r="S68" s="7"/>
    </row>
    <row r="69" spans="2:19" x14ac:dyDescent="0.2">
      <c r="B69" s="7">
        <v>259</v>
      </c>
      <c r="C69" s="7" t="s">
        <v>27</v>
      </c>
      <c r="D69" s="7" t="s">
        <v>28</v>
      </c>
      <c r="E69" s="7" t="s">
        <v>29</v>
      </c>
      <c r="F69" s="7"/>
      <c r="G69" s="7" t="s">
        <v>30</v>
      </c>
      <c r="H69" s="7">
        <v>0.98</v>
      </c>
      <c r="I69" s="7">
        <v>0.98</v>
      </c>
      <c r="J69" s="7">
        <v>0.63</v>
      </c>
      <c r="K69" s="7">
        <v>60</v>
      </c>
      <c r="L69" s="7"/>
      <c r="M69" s="7">
        <v>1</v>
      </c>
      <c r="N69" s="7">
        <v>290</v>
      </c>
      <c r="O69" s="7">
        <f t="shared" si="1"/>
        <v>18.924137931034483</v>
      </c>
      <c r="P69" s="7"/>
      <c r="Q69" s="7"/>
      <c r="R69" s="7"/>
      <c r="S69" s="7"/>
    </row>
    <row r="70" spans="2:19" ht="16.5" customHeight="1" thickBot="1" x14ac:dyDescent="0.25">
      <c r="B70" s="8">
        <v>260</v>
      </c>
      <c r="C70" s="8" t="s">
        <v>27</v>
      </c>
      <c r="D70" s="8" t="s">
        <v>28</v>
      </c>
      <c r="E70" s="8" t="s">
        <v>29</v>
      </c>
      <c r="F70" s="8"/>
      <c r="G70" s="8" t="s">
        <v>30</v>
      </c>
      <c r="H70" s="8">
        <v>0.98</v>
      </c>
      <c r="I70" s="8">
        <v>0.98</v>
      </c>
      <c r="J70" s="8">
        <v>0.63</v>
      </c>
      <c r="K70" s="8">
        <v>60</v>
      </c>
      <c r="L70" s="8"/>
      <c r="M70" s="8">
        <v>1</v>
      </c>
      <c r="N70" s="8">
        <v>16</v>
      </c>
      <c r="O70" s="8">
        <f t="shared" si="1"/>
        <v>343</v>
      </c>
      <c r="P70" s="8"/>
      <c r="Q70" s="8"/>
      <c r="R70" s="8"/>
      <c r="S70" s="8"/>
    </row>
    <row r="71" spans="2:19" x14ac:dyDescent="0.2">
      <c r="B71" s="6">
        <v>261</v>
      </c>
      <c r="C71" s="6" t="s">
        <v>27</v>
      </c>
      <c r="D71" s="6" t="s">
        <v>28</v>
      </c>
      <c r="E71" s="6" t="s">
        <v>29</v>
      </c>
      <c r="F71" s="6"/>
      <c r="G71" s="6" t="s">
        <v>30</v>
      </c>
      <c r="H71" s="6">
        <v>0.98</v>
      </c>
      <c r="I71" s="6">
        <v>0.98</v>
      </c>
      <c r="J71" s="6">
        <v>0.63</v>
      </c>
      <c r="K71" s="6">
        <v>60</v>
      </c>
      <c r="L71" s="6"/>
      <c r="M71" s="6">
        <v>1</v>
      </c>
      <c r="N71" s="6">
        <v>25</v>
      </c>
      <c r="O71" s="6">
        <f t="shared" si="1"/>
        <v>219.51999999999998</v>
      </c>
      <c r="P71" s="6"/>
      <c r="Q71" s="6"/>
      <c r="R71" s="6"/>
      <c r="S71" s="6"/>
    </row>
    <row r="72" spans="2:19" x14ac:dyDescent="0.2">
      <c r="B72" s="7">
        <v>262</v>
      </c>
      <c r="C72" s="7" t="s">
        <v>27</v>
      </c>
      <c r="D72" s="7" t="s">
        <v>28</v>
      </c>
      <c r="E72" s="7" t="s">
        <v>29</v>
      </c>
      <c r="F72" s="7"/>
      <c r="G72" s="7" t="s">
        <v>30</v>
      </c>
      <c r="H72" s="7">
        <v>0.98</v>
      </c>
      <c r="I72" s="7">
        <v>0.98</v>
      </c>
      <c r="J72" s="7">
        <v>0.63</v>
      </c>
      <c r="K72" s="7">
        <v>60</v>
      </c>
      <c r="L72" s="7"/>
      <c r="M72" s="7">
        <v>1</v>
      </c>
      <c r="N72" s="7">
        <v>26</v>
      </c>
      <c r="O72" s="7">
        <f t="shared" si="1"/>
        <v>211.07692307692309</v>
      </c>
      <c r="P72" s="7"/>
      <c r="Q72" s="7"/>
      <c r="R72" s="7"/>
      <c r="S72" s="7"/>
    </row>
    <row r="73" spans="2:19" x14ac:dyDescent="0.2">
      <c r="B73" s="7">
        <v>263</v>
      </c>
      <c r="C73" s="7" t="s">
        <v>27</v>
      </c>
      <c r="D73" s="7" t="s">
        <v>28</v>
      </c>
      <c r="E73" s="7" t="s">
        <v>29</v>
      </c>
      <c r="F73" s="7"/>
      <c r="G73" s="7" t="s">
        <v>30</v>
      </c>
      <c r="H73" s="7">
        <v>0.98</v>
      </c>
      <c r="I73" s="7">
        <v>0.98</v>
      </c>
      <c r="J73" s="7">
        <v>0.63</v>
      </c>
      <c r="K73" s="7">
        <v>60</v>
      </c>
      <c r="L73" s="7"/>
      <c r="M73" s="7">
        <v>1</v>
      </c>
      <c r="N73" s="7">
        <v>18</v>
      </c>
      <c r="O73" s="7">
        <f t="shared" si="1"/>
        <v>304.88888888888891</v>
      </c>
      <c r="P73" s="7"/>
      <c r="Q73" s="7"/>
      <c r="R73" s="7"/>
      <c r="S73" s="7"/>
    </row>
    <row r="74" spans="2:19" x14ac:dyDescent="0.2">
      <c r="B74" s="7">
        <v>264</v>
      </c>
      <c r="C74" s="7" t="s">
        <v>27</v>
      </c>
      <c r="D74" s="7" t="s">
        <v>28</v>
      </c>
      <c r="E74" s="7" t="s">
        <v>29</v>
      </c>
      <c r="F74" s="7"/>
      <c r="G74" s="7" t="s">
        <v>30</v>
      </c>
      <c r="H74" s="7">
        <v>0.98</v>
      </c>
      <c r="I74" s="7">
        <v>0.98</v>
      </c>
      <c r="J74" s="7">
        <v>0.63</v>
      </c>
      <c r="K74" s="7">
        <v>60</v>
      </c>
      <c r="L74" s="7"/>
      <c r="M74" s="7">
        <v>1</v>
      </c>
      <c r="N74" s="7">
        <v>17</v>
      </c>
      <c r="O74" s="7">
        <f t="shared" si="1"/>
        <v>322.8235294117647</v>
      </c>
      <c r="P74" s="7"/>
      <c r="Q74" s="7"/>
      <c r="R74" s="7"/>
      <c r="S74" s="7"/>
    </row>
    <row r="75" spans="2:19" ht="16.5" customHeight="1" thickBot="1" x14ac:dyDescent="0.25">
      <c r="B75" s="8">
        <v>265</v>
      </c>
      <c r="C75" s="8" t="s">
        <v>27</v>
      </c>
      <c r="D75" s="8" t="s">
        <v>28</v>
      </c>
      <c r="E75" s="8" t="s">
        <v>29</v>
      </c>
      <c r="F75" s="8"/>
      <c r="G75" s="8" t="s">
        <v>30</v>
      </c>
      <c r="H75" s="8">
        <v>0.98</v>
      </c>
      <c r="I75" s="8">
        <v>0.98</v>
      </c>
      <c r="J75" s="8">
        <v>0.63</v>
      </c>
      <c r="K75" s="8">
        <v>60</v>
      </c>
      <c r="L75" s="8"/>
      <c r="M75" s="8">
        <v>1</v>
      </c>
      <c r="N75" s="8">
        <v>18</v>
      </c>
      <c r="O75" s="8">
        <f t="shared" ref="O75:O106" si="2">3600*M75*H75*I75*K75/(J75*N75*60)</f>
        <v>304.88888888888891</v>
      </c>
      <c r="P75" s="8"/>
      <c r="Q75" s="8"/>
      <c r="R75" s="8"/>
      <c r="S75" s="8"/>
    </row>
    <row r="76" spans="2:19" x14ac:dyDescent="0.2">
      <c r="B76" s="6">
        <v>266</v>
      </c>
      <c r="C76" s="6" t="s">
        <v>27</v>
      </c>
      <c r="D76" s="6" t="s">
        <v>28</v>
      </c>
      <c r="E76" s="6" t="s">
        <v>29</v>
      </c>
      <c r="F76" s="6"/>
      <c r="G76" s="6" t="s">
        <v>30</v>
      </c>
      <c r="H76" s="6">
        <v>0.98</v>
      </c>
      <c r="I76" s="6">
        <v>0.98</v>
      </c>
      <c r="J76" s="6">
        <v>0.63</v>
      </c>
      <c r="K76" s="6">
        <v>60</v>
      </c>
      <c r="L76" s="6"/>
      <c r="M76" s="6">
        <v>1</v>
      </c>
      <c r="N76" s="6">
        <v>17</v>
      </c>
      <c r="O76" s="6">
        <f t="shared" si="2"/>
        <v>322.8235294117647</v>
      </c>
      <c r="P76" s="6"/>
      <c r="Q76" s="6"/>
      <c r="R76" s="6"/>
      <c r="S76" s="6"/>
    </row>
    <row r="77" spans="2:19" x14ac:dyDescent="0.2">
      <c r="B77" s="7">
        <v>267</v>
      </c>
      <c r="C77" s="7" t="s">
        <v>27</v>
      </c>
      <c r="D77" s="7" t="s">
        <v>28</v>
      </c>
      <c r="E77" s="7" t="s">
        <v>29</v>
      </c>
      <c r="F77" s="7"/>
      <c r="G77" s="7" t="s">
        <v>30</v>
      </c>
      <c r="H77" s="7">
        <v>0.98</v>
      </c>
      <c r="I77" s="7">
        <v>0.98</v>
      </c>
      <c r="J77" s="7">
        <v>0.63</v>
      </c>
      <c r="K77" s="7">
        <v>60</v>
      </c>
      <c r="L77" s="7"/>
      <c r="M77" s="7">
        <v>1</v>
      </c>
      <c r="N77" s="7">
        <v>18</v>
      </c>
      <c r="O77" s="7">
        <f t="shared" si="2"/>
        <v>304.88888888888891</v>
      </c>
      <c r="P77" s="7"/>
      <c r="Q77" s="7"/>
      <c r="R77" s="7"/>
      <c r="S77" s="7"/>
    </row>
    <row r="78" spans="2:19" x14ac:dyDescent="0.2">
      <c r="B78" s="7">
        <v>268</v>
      </c>
      <c r="C78" s="7" t="s">
        <v>27</v>
      </c>
      <c r="D78" s="7" t="s">
        <v>28</v>
      </c>
      <c r="E78" s="7" t="s">
        <v>29</v>
      </c>
      <c r="F78" s="7"/>
      <c r="G78" s="7" t="s">
        <v>30</v>
      </c>
      <c r="H78" s="7">
        <v>0.98</v>
      </c>
      <c r="I78" s="7">
        <v>0.98</v>
      </c>
      <c r="J78" s="7">
        <v>0.63</v>
      </c>
      <c r="K78" s="7">
        <v>60</v>
      </c>
      <c r="L78" s="7"/>
      <c r="M78" s="7">
        <v>1</v>
      </c>
      <c r="N78" s="7">
        <v>19</v>
      </c>
      <c r="O78" s="7">
        <f t="shared" si="2"/>
        <v>288.84210526315786</v>
      </c>
      <c r="P78" s="7"/>
      <c r="Q78" s="7"/>
      <c r="R78" s="7"/>
      <c r="S78" s="7"/>
    </row>
    <row r="79" spans="2:19" x14ac:dyDescent="0.2">
      <c r="B79" s="7">
        <v>269</v>
      </c>
      <c r="C79" s="7" t="s">
        <v>27</v>
      </c>
      <c r="D79" s="7" t="s">
        <v>28</v>
      </c>
      <c r="E79" s="7" t="s">
        <v>29</v>
      </c>
      <c r="F79" s="7"/>
      <c r="G79" s="7" t="s">
        <v>30</v>
      </c>
      <c r="H79" s="7">
        <v>0.98</v>
      </c>
      <c r="I79" s="7">
        <v>0.98</v>
      </c>
      <c r="J79" s="7">
        <v>0.63</v>
      </c>
      <c r="K79" s="7">
        <v>60</v>
      </c>
      <c r="L79" s="7"/>
      <c r="M79" s="7">
        <v>1</v>
      </c>
      <c r="N79" s="7">
        <v>21</v>
      </c>
      <c r="O79" s="7">
        <f t="shared" si="2"/>
        <v>261.33333333333331</v>
      </c>
      <c r="P79" s="7"/>
      <c r="Q79" s="7"/>
      <c r="R79" s="7"/>
      <c r="S79" s="7"/>
    </row>
    <row r="80" spans="2:19" ht="16.5" customHeight="1" thickBot="1" x14ac:dyDescent="0.25">
      <c r="B80" s="8">
        <v>270</v>
      </c>
      <c r="C80" s="8" t="s">
        <v>27</v>
      </c>
      <c r="D80" s="8" t="s">
        <v>28</v>
      </c>
      <c r="E80" s="8" t="s">
        <v>29</v>
      </c>
      <c r="F80" s="8"/>
      <c r="G80" s="8" t="s">
        <v>30</v>
      </c>
      <c r="H80" s="8">
        <v>0.98</v>
      </c>
      <c r="I80" s="8">
        <v>0.98</v>
      </c>
      <c r="J80" s="8">
        <v>0.63</v>
      </c>
      <c r="K80" s="8">
        <v>60</v>
      </c>
      <c r="L80" s="8"/>
      <c r="M80" s="8">
        <v>1</v>
      </c>
      <c r="N80" s="8">
        <v>178</v>
      </c>
      <c r="O80" s="8">
        <f t="shared" si="2"/>
        <v>30.831460674157306</v>
      </c>
      <c r="P80" s="8"/>
      <c r="Q80" s="8"/>
      <c r="R80" s="8"/>
      <c r="S80" s="8"/>
    </row>
    <row r="81" spans="2:19" x14ac:dyDescent="0.2">
      <c r="B81" s="6">
        <v>271</v>
      </c>
      <c r="C81" s="6" t="s">
        <v>27</v>
      </c>
      <c r="D81" s="6" t="s">
        <v>28</v>
      </c>
      <c r="E81" s="6" t="s">
        <v>29</v>
      </c>
      <c r="F81" s="6"/>
      <c r="G81" s="6" t="s">
        <v>30</v>
      </c>
      <c r="H81" s="6">
        <v>0.98</v>
      </c>
      <c r="I81" s="6">
        <v>0.98</v>
      </c>
      <c r="J81" s="6">
        <v>0.63</v>
      </c>
      <c r="K81" s="6">
        <v>60</v>
      </c>
      <c r="L81" s="6"/>
      <c r="M81" s="6">
        <v>1</v>
      </c>
      <c r="N81" s="6">
        <v>19</v>
      </c>
      <c r="O81" s="6">
        <f t="shared" si="2"/>
        <v>288.84210526315786</v>
      </c>
      <c r="P81" s="6"/>
      <c r="Q81" s="6"/>
      <c r="R81" s="6"/>
      <c r="S81" s="6"/>
    </row>
    <row r="82" spans="2:19" x14ac:dyDescent="0.2">
      <c r="B82" s="7">
        <v>272</v>
      </c>
      <c r="C82" s="7" t="s">
        <v>27</v>
      </c>
      <c r="D82" s="7" t="s">
        <v>28</v>
      </c>
      <c r="E82" s="7" t="s">
        <v>29</v>
      </c>
      <c r="F82" s="7"/>
      <c r="G82" s="7" t="s">
        <v>30</v>
      </c>
      <c r="H82" s="7">
        <v>0.98</v>
      </c>
      <c r="I82" s="7">
        <v>0.98</v>
      </c>
      <c r="J82" s="7">
        <v>0.63</v>
      </c>
      <c r="K82" s="7">
        <v>60</v>
      </c>
      <c r="L82" s="7"/>
      <c r="M82" s="7">
        <v>1</v>
      </c>
      <c r="N82" s="7">
        <v>23</v>
      </c>
      <c r="O82" s="7">
        <f t="shared" si="2"/>
        <v>238.60869565217391</v>
      </c>
      <c r="P82" s="7"/>
      <c r="Q82" s="7"/>
      <c r="R82" s="7"/>
      <c r="S82" s="7"/>
    </row>
    <row r="83" spans="2:19" x14ac:dyDescent="0.2">
      <c r="B83" s="7">
        <v>273</v>
      </c>
      <c r="C83" s="7" t="s">
        <v>27</v>
      </c>
      <c r="D83" s="7" t="s">
        <v>28</v>
      </c>
      <c r="E83" s="7" t="s">
        <v>29</v>
      </c>
      <c r="F83" s="7"/>
      <c r="G83" s="7" t="s">
        <v>30</v>
      </c>
      <c r="H83" s="7">
        <v>0.98</v>
      </c>
      <c r="I83" s="7">
        <v>0.98</v>
      </c>
      <c r="J83" s="7">
        <v>0.63</v>
      </c>
      <c r="K83" s="7">
        <v>60</v>
      </c>
      <c r="L83" s="7"/>
      <c r="M83" s="7">
        <v>1</v>
      </c>
      <c r="N83" s="7">
        <v>18</v>
      </c>
      <c r="O83" s="7">
        <f t="shared" si="2"/>
        <v>304.88888888888891</v>
      </c>
      <c r="P83" s="7"/>
      <c r="Q83" s="7"/>
      <c r="R83" s="7"/>
      <c r="S83" s="7"/>
    </row>
    <row r="84" spans="2:19" x14ac:dyDescent="0.2">
      <c r="B84" s="7">
        <v>274</v>
      </c>
      <c r="C84" s="7" t="s">
        <v>27</v>
      </c>
      <c r="D84" s="7" t="s">
        <v>28</v>
      </c>
      <c r="E84" s="7" t="s">
        <v>29</v>
      </c>
      <c r="F84" s="7"/>
      <c r="G84" s="7" t="s">
        <v>30</v>
      </c>
      <c r="H84" s="7">
        <v>0.98</v>
      </c>
      <c r="I84" s="7">
        <v>0.86</v>
      </c>
      <c r="J84" s="7">
        <v>0.63</v>
      </c>
      <c r="K84" s="7">
        <v>60</v>
      </c>
      <c r="L84" s="7"/>
      <c r="M84" s="7">
        <v>1</v>
      </c>
      <c r="N84" s="7">
        <v>17</v>
      </c>
      <c r="O84" s="7">
        <f t="shared" si="2"/>
        <v>283.29411764705878</v>
      </c>
      <c r="P84" s="7"/>
      <c r="Q84" s="7"/>
      <c r="R84" s="7"/>
      <c r="S84" s="7"/>
    </row>
    <row r="85" spans="2:19" ht="16.5" customHeight="1" thickBot="1" x14ac:dyDescent="0.25">
      <c r="B85" s="8">
        <v>275</v>
      </c>
      <c r="C85" s="8" t="s">
        <v>27</v>
      </c>
      <c r="D85" s="8" t="s">
        <v>28</v>
      </c>
      <c r="E85" s="8" t="s">
        <v>29</v>
      </c>
      <c r="F85" s="8"/>
      <c r="G85" s="8" t="s">
        <v>30</v>
      </c>
      <c r="H85" s="8">
        <v>0.98</v>
      </c>
      <c r="I85" s="8">
        <v>0.86</v>
      </c>
      <c r="J85" s="8">
        <v>0.63</v>
      </c>
      <c r="K85" s="8">
        <v>60</v>
      </c>
      <c r="L85" s="8"/>
      <c r="M85" s="8">
        <v>1</v>
      </c>
      <c r="N85" s="8">
        <v>26</v>
      </c>
      <c r="O85" s="8">
        <f t="shared" si="2"/>
        <v>185.23076923076923</v>
      </c>
      <c r="P85" s="8"/>
      <c r="Q85" s="8"/>
      <c r="R85" s="8"/>
      <c r="S85" s="8"/>
    </row>
    <row r="86" spans="2:19" x14ac:dyDescent="0.2">
      <c r="B86" s="6">
        <v>276</v>
      </c>
      <c r="C86" s="6" t="s">
        <v>27</v>
      </c>
      <c r="D86" s="6" t="s">
        <v>28</v>
      </c>
      <c r="E86" s="6" t="s">
        <v>29</v>
      </c>
      <c r="F86" s="6"/>
      <c r="G86" s="6" t="s">
        <v>30</v>
      </c>
      <c r="H86" s="6">
        <v>0.98</v>
      </c>
      <c r="I86" s="6">
        <v>0.69</v>
      </c>
      <c r="J86" s="6">
        <v>0.63</v>
      </c>
      <c r="K86" s="6">
        <v>60</v>
      </c>
      <c r="L86" s="6"/>
      <c r="M86" s="6">
        <v>1</v>
      </c>
      <c r="N86" s="6">
        <v>19</v>
      </c>
      <c r="O86" s="6">
        <f t="shared" si="2"/>
        <v>203.36842105263153</v>
      </c>
      <c r="P86" s="6"/>
      <c r="Q86" s="6"/>
      <c r="R86" s="6"/>
      <c r="S86" s="6"/>
    </row>
    <row r="87" spans="2:19" x14ac:dyDescent="0.2">
      <c r="B87" s="7">
        <v>277</v>
      </c>
      <c r="C87" s="7" t="s">
        <v>27</v>
      </c>
      <c r="D87" s="7" t="s">
        <v>28</v>
      </c>
      <c r="E87" s="7" t="s">
        <v>29</v>
      </c>
      <c r="F87" s="7"/>
      <c r="G87" s="7" t="s">
        <v>30</v>
      </c>
      <c r="H87" s="7">
        <v>0.98</v>
      </c>
      <c r="I87" s="7">
        <v>0.69</v>
      </c>
      <c r="J87" s="7">
        <v>0.63</v>
      </c>
      <c r="K87" s="7">
        <v>60</v>
      </c>
      <c r="L87" s="7"/>
      <c r="M87" s="7">
        <v>1</v>
      </c>
      <c r="N87" s="7">
        <v>20</v>
      </c>
      <c r="O87" s="7">
        <f t="shared" si="2"/>
        <v>193.2</v>
      </c>
      <c r="P87" s="7"/>
      <c r="Q87" s="7"/>
      <c r="R87" s="7"/>
      <c r="S87" s="7"/>
    </row>
    <row r="88" spans="2:19" x14ac:dyDescent="0.2">
      <c r="B88" s="7">
        <v>278</v>
      </c>
      <c r="C88" s="7" t="s">
        <v>27</v>
      </c>
      <c r="D88" s="7" t="s">
        <v>28</v>
      </c>
      <c r="E88" s="7" t="s">
        <v>29</v>
      </c>
      <c r="F88" s="7"/>
      <c r="G88" s="7" t="s">
        <v>30</v>
      </c>
      <c r="H88" s="7">
        <v>0.98</v>
      </c>
      <c r="I88" s="7">
        <v>0.98</v>
      </c>
      <c r="J88" s="7">
        <v>0.63</v>
      </c>
      <c r="K88" s="7">
        <v>60</v>
      </c>
      <c r="L88" s="7"/>
      <c r="M88" s="7">
        <v>1</v>
      </c>
      <c r="N88" s="7">
        <v>21</v>
      </c>
      <c r="O88" s="7">
        <f t="shared" si="2"/>
        <v>261.33333333333331</v>
      </c>
      <c r="P88" s="7"/>
      <c r="Q88" s="7"/>
      <c r="R88" s="7"/>
      <c r="S88" s="7"/>
    </row>
    <row r="89" spans="2:19" x14ac:dyDescent="0.2">
      <c r="B89" s="7">
        <v>279</v>
      </c>
      <c r="C89" s="7" t="s">
        <v>27</v>
      </c>
      <c r="D89" s="7" t="s">
        <v>28</v>
      </c>
      <c r="E89" s="7" t="s">
        <v>29</v>
      </c>
      <c r="F89" s="7"/>
      <c r="G89" s="7" t="s">
        <v>30</v>
      </c>
      <c r="H89" s="7">
        <v>0.98</v>
      </c>
      <c r="I89" s="7">
        <v>0.98</v>
      </c>
      <c r="J89" s="7">
        <v>0.63</v>
      </c>
      <c r="K89" s="7">
        <v>60</v>
      </c>
      <c r="L89" s="7"/>
      <c r="M89" s="7">
        <v>1</v>
      </c>
      <c r="N89" s="7">
        <v>437</v>
      </c>
      <c r="O89" s="7">
        <f t="shared" si="2"/>
        <v>12.558352402745996</v>
      </c>
      <c r="P89" s="7"/>
      <c r="Q89" s="7"/>
      <c r="R89" s="7"/>
      <c r="S89" s="7"/>
    </row>
    <row r="90" spans="2:19" ht="16.5" customHeight="1" thickBot="1" x14ac:dyDescent="0.25">
      <c r="B90" s="8">
        <v>280</v>
      </c>
      <c r="C90" s="8" t="s">
        <v>27</v>
      </c>
      <c r="D90" s="8" t="s">
        <v>28</v>
      </c>
      <c r="E90" s="8" t="s">
        <v>29</v>
      </c>
      <c r="F90" s="8"/>
      <c r="G90" s="8" t="s">
        <v>30</v>
      </c>
      <c r="H90" s="8">
        <v>0.98</v>
      </c>
      <c r="I90" s="8">
        <v>0.86</v>
      </c>
      <c r="J90" s="8">
        <v>0.63</v>
      </c>
      <c r="K90" s="8">
        <v>60</v>
      </c>
      <c r="L90" s="8"/>
      <c r="M90" s="8">
        <v>1</v>
      </c>
      <c r="N90" s="8">
        <v>19</v>
      </c>
      <c r="O90" s="8">
        <f t="shared" si="2"/>
        <v>253.47368421052627</v>
      </c>
      <c r="P90" s="8"/>
      <c r="Q90" s="8"/>
      <c r="R90" s="8"/>
      <c r="S90" s="8"/>
    </row>
    <row r="91" spans="2:19" x14ac:dyDescent="0.2">
      <c r="B91" s="6">
        <v>281</v>
      </c>
      <c r="C91" s="6" t="s">
        <v>27</v>
      </c>
      <c r="D91" s="6" t="s">
        <v>28</v>
      </c>
      <c r="E91" s="6" t="s">
        <v>29</v>
      </c>
      <c r="F91" s="6"/>
      <c r="G91" s="6" t="s">
        <v>30</v>
      </c>
      <c r="H91" s="6">
        <v>0.98</v>
      </c>
      <c r="I91" s="6">
        <v>0.86</v>
      </c>
      <c r="J91" s="6">
        <v>0.63</v>
      </c>
      <c r="K91" s="6">
        <v>60</v>
      </c>
      <c r="L91" s="6"/>
      <c r="M91" s="6">
        <v>1</v>
      </c>
      <c r="N91" s="6">
        <v>27</v>
      </c>
      <c r="O91" s="6">
        <f t="shared" si="2"/>
        <v>178.37037037037032</v>
      </c>
      <c r="P91" s="6"/>
      <c r="Q91" s="6"/>
      <c r="R91" s="6"/>
      <c r="S91" s="6"/>
    </row>
    <row r="92" spans="2:19" x14ac:dyDescent="0.2">
      <c r="B92" s="7">
        <v>282</v>
      </c>
      <c r="C92" s="7" t="s">
        <v>27</v>
      </c>
      <c r="D92" s="7" t="s">
        <v>28</v>
      </c>
      <c r="E92" s="7" t="s">
        <v>29</v>
      </c>
      <c r="F92" s="7"/>
      <c r="G92" s="7" t="s">
        <v>30</v>
      </c>
      <c r="H92" s="7">
        <v>0.98</v>
      </c>
      <c r="I92" s="7">
        <v>0.86</v>
      </c>
      <c r="J92" s="7">
        <v>0.63</v>
      </c>
      <c r="K92" s="7">
        <v>60</v>
      </c>
      <c r="L92" s="7"/>
      <c r="M92" s="7">
        <v>1</v>
      </c>
      <c r="N92" s="7">
        <v>24</v>
      </c>
      <c r="O92" s="7">
        <f t="shared" si="2"/>
        <v>200.66666666666666</v>
      </c>
      <c r="P92" s="7"/>
      <c r="Q92" s="7"/>
      <c r="R92" s="7"/>
      <c r="S92" s="7"/>
    </row>
    <row r="93" spans="2:19" x14ac:dyDescent="0.2">
      <c r="B93" s="7">
        <v>283</v>
      </c>
      <c r="C93" s="7" t="s">
        <v>27</v>
      </c>
      <c r="D93" s="7" t="s">
        <v>28</v>
      </c>
      <c r="E93" s="7" t="s">
        <v>29</v>
      </c>
      <c r="F93" s="7"/>
      <c r="G93" s="7" t="s">
        <v>30</v>
      </c>
      <c r="H93" s="7">
        <v>0.98</v>
      </c>
      <c r="I93" s="7">
        <v>0.98</v>
      </c>
      <c r="J93" s="7">
        <v>0.63</v>
      </c>
      <c r="K93" s="7">
        <v>60</v>
      </c>
      <c r="L93" s="7"/>
      <c r="M93" s="7">
        <v>1</v>
      </c>
      <c r="N93" s="7">
        <v>26</v>
      </c>
      <c r="O93" s="7">
        <f t="shared" si="2"/>
        <v>211.07692307692309</v>
      </c>
      <c r="P93" s="7"/>
      <c r="Q93" s="7"/>
      <c r="R93" s="7"/>
      <c r="S93" s="7"/>
    </row>
    <row r="94" spans="2:19" x14ac:dyDescent="0.2">
      <c r="B94" s="7">
        <v>284</v>
      </c>
      <c r="C94" s="7" t="s">
        <v>27</v>
      </c>
      <c r="D94" s="7" t="s">
        <v>28</v>
      </c>
      <c r="E94" s="7" t="s">
        <v>29</v>
      </c>
      <c r="F94" s="7"/>
      <c r="G94" s="7" t="s">
        <v>30</v>
      </c>
      <c r="H94" s="7">
        <v>0.98</v>
      </c>
      <c r="I94" s="7">
        <v>0.98</v>
      </c>
      <c r="J94" s="7">
        <v>0.63</v>
      </c>
      <c r="K94" s="7">
        <v>60</v>
      </c>
      <c r="L94" s="7"/>
      <c r="M94" s="7">
        <v>1</v>
      </c>
      <c r="N94" s="7">
        <v>24</v>
      </c>
      <c r="O94" s="7">
        <f t="shared" si="2"/>
        <v>228.66666666666666</v>
      </c>
      <c r="P94" s="7"/>
      <c r="Q94" s="7"/>
      <c r="R94" s="7"/>
      <c r="S94" s="7"/>
    </row>
    <row r="95" spans="2:19" ht="16.5" customHeight="1" thickBot="1" x14ac:dyDescent="0.25">
      <c r="B95" s="8">
        <v>285</v>
      </c>
      <c r="C95" s="8" t="s">
        <v>27</v>
      </c>
      <c r="D95" s="8" t="s">
        <v>28</v>
      </c>
      <c r="E95" s="8" t="s">
        <v>29</v>
      </c>
      <c r="F95" s="8"/>
      <c r="G95" s="8" t="s">
        <v>30</v>
      </c>
      <c r="H95" s="8">
        <v>0.98</v>
      </c>
      <c r="I95" s="8">
        <v>0.98</v>
      </c>
      <c r="J95" s="8">
        <v>0.63</v>
      </c>
      <c r="K95" s="8">
        <v>60</v>
      </c>
      <c r="L95" s="8"/>
      <c r="M95" s="8">
        <v>1</v>
      </c>
      <c r="N95" s="8">
        <v>21</v>
      </c>
      <c r="O95" s="8">
        <f t="shared" si="2"/>
        <v>261.33333333333331</v>
      </c>
      <c r="P95" s="8"/>
      <c r="Q95" s="8"/>
      <c r="R95" s="8"/>
      <c r="S95" s="8"/>
    </row>
    <row r="96" spans="2:19" x14ac:dyDescent="0.2">
      <c r="B96" s="6">
        <v>286</v>
      </c>
      <c r="C96" s="6" t="s">
        <v>27</v>
      </c>
      <c r="D96" s="6" t="s">
        <v>28</v>
      </c>
      <c r="E96" s="6" t="s">
        <v>29</v>
      </c>
      <c r="F96" s="6"/>
      <c r="G96" s="6" t="s">
        <v>30</v>
      </c>
      <c r="H96" s="6">
        <v>0.98</v>
      </c>
      <c r="I96" s="6">
        <v>0.69</v>
      </c>
      <c r="J96" s="6">
        <v>0.63</v>
      </c>
      <c r="K96" s="6">
        <v>60</v>
      </c>
      <c r="L96" s="6"/>
      <c r="M96" s="6">
        <v>1</v>
      </c>
      <c r="N96" s="6">
        <v>28</v>
      </c>
      <c r="O96" s="6">
        <f t="shared" si="2"/>
        <v>137.99999999999997</v>
      </c>
      <c r="P96" s="6"/>
      <c r="Q96" s="6"/>
      <c r="R96" s="6"/>
      <c r="S96" s="6"/>
    </row>
    <row r="97" spans="2:19" x14ac:dyDescent="0.2">
      <c r="B97" s="7">
        <v>287</v>
      </c>
      <c r="C97" s="7" t="s">
        <v>27</v>
      </c>
      <c r="D97" s="7" t="s">
        <v>28</v>
      </c>
      <c r="E97" s="7" t="s">
        <v>29</v>
      </c>
      <c r="F97" s="7"/>
      <c r="G97" s="7" t="s">
        <v>30</v>
      </c>
      <c r="H97" s="7">
        <v>0.98</v>
      </c>
      <c r="I97" s="7">
        <v>0.98</v>
      </c>
      <c r="J97" s="7">
        <v>0.63</v>
      </c>
      <c r="K97" s="7">
        <v>60</v>
      </c>
      <c r="L97" s="7"/>
      <c r="M97" s="7">
        <v>1</v>
      </c>
      <c r="N97" s="7">
        <v>19</v>
      </c>
      <c r="O97" s="7">
        <f t="shared" si="2"/>
        <v>288.84210526315786</v>
      </c>
      <c r="P97" s="7"/>
      <c r="Q97" s="7"/>
      <c r="R97" s="7"/>
      <c r="S97" s="7"/>
    </row>
    <row r="98" spans="2:19" x14ac:dyDescent="0.2">
      <c r="B98" s="7">
        <v>288</v>
      </c>
      <c r="C98" s="7" t="s">
        <v>27</v>
      </c>
      <c r="D98" s="7" t="s">
        <v>28</v>
      </c>
      <c r="E98" s="7" t="s">
        <v>29</v>
      </c>
      <c r="F98" s="7"/>
      <c r="G98" s="7" t="s">
        <v>30</v>
      </c>
      <c r="H98" s="7">
        <v>0.98</v>
      </c>
      <c r="I98" s="7">
        <v>0.98</v>
      </c>
      <c r="J98" s="7">
        <v>0.63</v>
      </c>
      <c r="K98" s="7">
        <v>60</v>
      </c>
      <c r="L98" s="7"/>
      <c r="M98" s="7">
        <v>1</v>
      </c>
      <c r="N98" s="7">
        <v>394</v>
      </c>
      <c r="O98" s="7">
        <f t="shared" si="2"/>
        <v>13.928934010152282</v>
      </c>
      <c r="P98" s="7"/>
      <c r="Q98" s="7"/>
      <c r="R98" s="7"/>
      <c r="S98" s="7"/>
    </row>
    <row r="99" spans="2:19" x14ac:dyDescent="0.2">
      <c r="B99" s="7">
        <v>289</v>
      </c>
      <c r="C99" s="7" t="s">
        <v>27</v>
      </c>
      <c r="D99" s="7" t="s">
        <v>28</v>
      </c>
      <c r="E99" s="7" t="s">
        <v>29</v>
      </c>
      <c r="F99" s="7"/>
      <c r="G99" s="7" t="s">
        <v>30</v>
      </c>
      <c r="H99" s="7">
        <v>0.98</v>
      </c>
      <c r="I99" s="7">
        <v>0.98</v>
      </c>
      <c r="J99" s="7">
        <v>0.63</v>
      </c>
      <c r="K99" s="7">
        <v>60</v>
      </c>
      <c r="L99" s="7"/>
      <c r="M99" s="7">
        <v>1</v>
      </c>
      <c r="N99" s="7">
        <v>16</v>
      </c>
      <c r="O99" s="7">
        <f t="shared" si="2"/>
        <v>343</v>
      </c>
      <c r="P99" s="7"/>
      <c r="Q99" s="7"/>
      <c r="R99" s="7"/>
      <c r="S99" s="7"/>
    </row>
    <row r="100" spans="2:19" ht="16.5" customHeight="1" thickBot="1" x14ac:dyDescent="0.25">
      <c r="B100" s="8">
        <v>290</v>
      </c>
      <c r="C100" s="8" t="s">
        <v>27</v>
      </c>
      <c r="D100" s="8" t="s">
        <v>28</v>
      </c>
      <c r="E100" s="8" t="s">
        <v>29</v>
      </c>
      <c r="F100" s="8"/>
      <c r="G100" s="8" t="s">
        <v>30</v>
      </c>
      <c r="H100" s="8">
        <v>0.98</v>
      </c>
      <c r="I100" s="8">
        <v>0.98</v>
      </c>
      <c r="J100" s="8">
        <v>0.63</v>
      </c>
      <c r="K100" s="8">
        <v>60</v>
      </c>
      <c r="L100" s="8"/>
      <c r="M100" s="8">
        <v>1</v>
      </c>
      <c r="N100" s="8">
        <v>18</v>
      </c>
      <c r="O100" s="8">
        <f t="shared" si="2"/>
        <v>304.88888888888891</v>
      </c>
      <c r="P100" s="8"/>
      <c r="Q100" s="8"/>
      <c r="R100" s="8"/>
      <c r="S100" s="8"/>
    </row>
    <row r="101" spans="2:19" x14ac:dyDescent="0.2">
      <c r="B101" s="6">
        <v>291</v>
      </c>
      <c r="C101" s="6" t="s">
        <v>27</v>
      </c>
      <c r="D101" s="6" t="s">
        <v>28</v>
      </c>
      <c r="E101" s="6" t="s">
        <v>29</v>
      </c>
      <c r="F101" s="6"/>
      <c r="G101" s="6" t="s">
        <v>30</v>
      </c>
      <c r="H101" s="6">
        <v>0.98</v>
      </c>
      <c r="I101" s="6">
        <v>0.86</v>
      </c>
      <c r="J101" s="6">
        <v>0.63</v>
      </c>
      <c r="K101" s="6">
        <v>60</v>
      </c>
      <c r="L101" s="6"/>
      <c r="M101" s="6">
        <v>1</v>
      </c>
      <c r="N101" s="6">
        <v>21</v>
      </c>
      <c r="O101" s="6">
        <f t="shared" si="2"/>
        <v>229.33333333333329</v>
      </c>
      <c r="P101" s="6"/>
      <c r="Q101" s="6"/>
      <c r="R101" s="6"/>
      <c r="S101" s="6"/>
    </row>
    <row r="102" spans="2:19" x14ac:dyDescent="0.2">
      <c r="B102" s="7">
        <v>292</v>
      </c>
      <c r="C102" s="7" t="s">
        <v>27</v>
      </c>
      <c r="D102" s="7" t="s">
        <v>28</v>
      </c>
      <c r="E102" s="7" t="s">
        <v>29</v>
      </c>
      <c r="F102" s="7"/>
      <c r="G102" s="7" t="s">
        <v>30</v>
      </c>
      <c r="H102" s="7">
        <v>0.98</v>
      </c>
      <c r="I102" s="7">
        <v>0.86</v>
      </c>
      <c r="J102" s="7">
        <v>0.63</v>
      </c>
      <c r="K102" s="7">
        <v>60</v>
      </c>
      <c r="L102" s="7"/>
      <c r="M102" s="7">
        <v>1</v>
      </c>
      <c r="N102" s="7">
        <v>23</v>
      </c>
      <c r="O102" s="7">
        <f t="shared" si="2"/>
        <v>209.39130434782609</v>
      </c>
      <c r="P102" s="7"/>
      <c r="Q102" s="7"/>
      <c r="R102" s="7"/>
      <c r="S102" s="7"/>
    </row>
    <row r="103" spans="2:19" x14ac:dyDescent="0.2">
      <c r="B103" s="7">
        <v>293</v>
      </c>
      <c r="C103" s="7" t="s">
        <v>27</v>
      </c>
      <c r="D103" s="7" t="s">
        <v>28</v>
      </c>
      <c r="E103" s="7" t="s">
        <v>29</v>
      </c>
      <c r="F103" s="7"/>
      <c r="G103" s="7" t="s">
        <v>30</v>
      </c>
      <c r="H103" s="7">
        <v>0.98</v>
      </c>
      <c r="I103" s="7">
        <v>0.86</v>
      </c>
      <c r="J103" s="7">
        <v>0.63</v>
      </c>
      <c r="K103" s="7">
        <v>60</v>
      </c>
      <c r="L103" s="7"/>
      <c r="M103" s="7">
        <v>1</v>
      </c>
      <c r="N103" s="7">
        <v>20</v>
      </c>
      <c r="O103" s="7">
        <f t="shared" si="2"/>
        <v>240.79999999999998</v>
      </c>
      <c r="P103" s="7"/>
      <c r="Q103" s="7"/>
      <c r="R103" s="7"/>
      <c r="S103" s="7"/>
    </row>
    <row r="104" spans="2:19" x14ac:dyDescent="0.2">
      <c r="B104" s="7">
        <v>294</v>
      </c>
      <c r="C104" s="7" t="s">
        <v>27</v>
      </c>
      <c r="D104" s="7" t="s">
        <v>28</v>
      </c>
      <c r="E104" s="7" t="s">
        <v>29</v>
      </c>
      <c r="F104" s="7"/>
      <c r="G104" s="7" t="s">
        <v>30</v>
      </c>
      <c r="H104" s="7">
        <v>0.98</v>
      </c>
      <c r="I104" s="7">
        <v>1.1200000000000001</v>
      </c>
      <c r="J104" s="7">
        <v>0.63</v>
      </c>
      <c r="K104" s="7">
        <v>60</v>
      </c>
      <c r="L104" s="7"/>
      <c r="M104" s="7">
        <v>1</v>
      </c>
      <c r="N104" s="7">
        <v>19</v>
      </c>
      <c r="O104" s="7">
        <f t="shared" si="2"/>
        <v>330.10526315789474</v>
      </c>
      <c r="P104" s="7"/>
      <c r="Q104" s="7"/>
      <c r="R104" s="7"/>
      <c r="S104" s="7"/>
    </row>
    <row r="105" spans="2:19" ht="16.5" customHeight="1" thickBot="1" x14ac:dyDescent="0.25">
      <c r="B105" s="8">
        <v>295</v>
      </c>
      <c r="C105" s="8" t="s">
        <v>27</v>
      </c>
      <c r="D105" s="8" t="s">
        <v>28</v>
      </c>
      <c r="E105" s="8" t="s">
        <v>29</v>
      </c>
      <c r="F105" s="8"/>
      <c r="G105" s="8" t="s">
        <v>30</v>
      </c>
      <c r="H105" s="8">
        <v>0.98</v>
      </c>
      <c r="I105" s="8">
        <v>0.98</v>
      </c>
      <c r="J105" s="8">
        <v>0.63</v>
      </c>
      <c r="K105" s="8">
        <v>60</v>
      </c>
      <c r="L105" s="8"/>
      <c r="M105" s="8">
        <v>1</v>
      </c>
      <c r="N105" s="8">
        <v>21</v>
      </c>
      <c r="O105" s="8">
        <f t="shared" si="2"/>
        <v>261.33333333333331</v>
      </c>
      <c r="P105" s="8"/>
      <c r="Q105" s="8"/>
      <c r="R105" s="8"/>
      <c r="S105" s="8"/>
    </row>
    <row r="106" spans="2:19" x14ac:dyDescent="0.2">
      <c r="B106" s="6">
        <v>296</v>
      </c>
      <c r="C106" s="6" t="s">
        <v>27</v>
      </c>
      <c r="D106" s="6" t="s">
        <v>28</v>
      </c>
      <c r="E106" s="6" t="s">
        <v>29</v>
      </c>
      <c r="F106" s="6"/>
      <c r="G106" s="6" t="s">
        <v>30</v>
      </c>
      <c r="H106" s="6">
        <v>0.98</v>
      </c>
      <c r="I106" s="6">
        <v>0.98</v>
      </c>
      <c r="J106" s="6">
        <v>0.63</v>
      </c>
      <c r="K106" s="6">
        <v>60</v>
      </c>
      <c r="L106" s="6"/>
      <c r="M106" s="6">
        <v>1</v>
      </c>
      <c r="N106" s="6">
        <v>22</v>
      </c>
      <c r="O106" s="6">
        <f t="shared" si="2"/>
        <v>249.45454545454547</v>
      </c>
      <c r="P106" s="6"/>
      <c r="Q106" s="6"/>
      <c r="R106" s="6"/>
      <c r="S106" s="6"/>
    </row>
    <row r="107" spans="2:19" x14ac:dyDescent="0.2">
      <c r="B107" s="7">
        <v>297</v>
      </c>
      <c r="C107" s="7" t="s">
        <v>27</v>
      </c>
      <c r="D107" s="7" t="s">
        <v>28</v>
      </c>
      <c r="E107" s="7" t="s">
        <v>29</v>
      </c>
      <c r="F107" s="7"/>
      <c r="G107" s="7" t="s">
        <v>30</v>
      </c>
      <c r="H107" s="7">
        <v>0.98</v>
      </c>
      <c r="I107" s="7">
        <v>0.98</v>
      </c>
      <c r="J107" s="7">
        <v>0.63</v>
      </c>
      <c r="K107" s="7">
        <v>60</v>
      </c>
      <c r="L107" s="7"/>
      <c r="M107" s="7">
        <v>1</v>
      </c>
      <c r="N107" s="7">
        <v>286</v>
      </c>
      <c r="O107" s="7">
        <f t="shared" ref="O107:O138" si="3">3600*M107*H107*I107*K107/(J107*N107*60)</f>
        <v>19.188811188811187</v>
      </c>
      <c r="P107" s="7"/>
      <c r="Q107" s="7"/>
      <c r="R107" s="7"/>
      <c r="S107" s="7"/>
    </row>
    <row r="108" spans="2:19" x14ac:dyDescent="0.2">
      <c r="B108" s="7">
        <v>298</v>
      </c>
      <c r="C108" s="7" t="s">
        <v>27</v>
      </c>
      <c r="D108" s="7" t="s">
        <v>28</v>
      </c>
      <c r="E108" s="7" t="s">
        <v>29</v>
      </c>
      <c r="F108" s="7"/>
      <c r="G108" s="7" t="s">
        <v>30</v>
      </c>
      <c r="H108" s="7">
        <v>0.98</v>
      </c>
      <c r="I108" s="7">
        <v>0.86</v>
      </c>
      <c r="J108" s="7">
        <v>0.63</v>
      </c>
      <c r="K108" s="7">
        <v>60</v>
      </c>
      <c r="L108" s="7"/>
      <c r="M108" s="7">
        <v>1</v>
      </c>
      <c r="N108" s="7">
        <v>24</v>
      </c>
      <c r="O108" s="7">
        <f t="shared" si="3"/>
        <v>200.66666666666666</v>
      </c>
      <c r="P108" s="7"/>
      <c r="Q108" s="7"/>
      <c r="R108" s="7"/>
      <c r="S108" s="7"/>
    </row>
    <row r="109" spans="2:19" x14ac:dyDescent="0.2">
      <c r="B109" s="7">
        <v>299</v>
      </c>
      <c r="C109" s="7" t="s">
        <v>27</v>
      </c>
      <c r="D109" s="7" t="s">
        <v>28</v>
      </c>
      <c r="E109" s="7" t="s">
        <v>29</v>
      </c>
      <c r="F109" s="7"/>
      <c r="G109" s="7" t="s">
        <v>30</v>
      </c>
      <c r="H109" s="7">
        <v>0.98</v>
      </c>
      <c r="I109" s="7">
        <v>0.86</v>
      </c>
      <c r="J109" s="7">
        <v>0.63</v>
      </c>
      <c r="K109" s="7">
        <v>60</v>
      </c>
      <c r="L109" s="7"/>
      <c r="M109" s="7">
        <v>1</v>
      </c>
      <c r="N109" s="7">
        <v>26</v>
      </c>
      <c r="O109" s="7">
        <f t="shared" si="3"/>
        <v>185.23076923076923</v>
      </c>
      <c r="P109" s="7"/>
      <c r="Q109" s="7"/>
      <c r="R109" s="7"/>
      <c r="S109" s="7"/>
    </row>
    <row r="110" spans="2:19" ht="16.5" customHeight="1" thickBot="1" x14ac:dyDescent="0.25">
      <c r="B110" s="8">
        <v>300</v>
      </c>
      <c r="C110" s="8" t="s">
        <v>27</v>
      </c>
      <c r="D110" s="8" t="s">
        <v>28</v>
      </c>
      <c r="E110" s="8" t="s">
        <v>29</v>
      </c>
      <c r="F110" s="8"/>
      <c r="G110" s="8" t="s">
        <v>30</v>
      </c>
      <c r="H110" s="8">
        <v>0.98</v>
      </c>
      <c r="I110" s="8">
        <v>0.86</v>
      </c>
      <c r="J110" s="8">
        <v>0.63</v>
      </c>
      <c r="K110" s="8">
        <v>60</v>
      </c>
      <c r="L110" s="8"/>
      <c r="M110" s="8">
        <v>1</v>
      </c>
      <c r="N110" s="8">
        <v>19</v>
      </c>
      <c r="O110" s="8">
        <f t="shared" si="3"/>
        <v>253.47368421052627</v>
      </c>
      <c r="P110" s="8"/>
      <c r="Q110" s="8"/>
      <c r="R110" s="8"/>
      <c r="S110" s="8"/>
    </row>
    <row r="111" spans="2:19" s="4" customFormat="1" x14ac:dyDescent="0.2">
      <c r="B111" s="44" t="s">
        <v>31</v>
      </c>
      <c r="C111" s="45"/>
      <c r="D111" s="45"/>
      <c r="E111" s="45"/>
      <c r="F111" s="45"/>
      <c r="G111" s="45"/>
      <c r="H111" s="4">
        <f>AVERAGE(H11:H110)</f>
        <v>0.98000000000000043</v>
      </c>
      <c r="I111" s="4">
        <f>AVERAGE(I11:I110)</f>
        <v>0.94549999999999979</v>
      </c>
      <c r="J111" s="4">
        <f>AVERAGE(J11:J110)</f>
        <v>0.63000000000000111</v>
      </c>
      <c r="K111" s="4">
        <f>AVERAGE(K11:K110)</f>
        <v>60</v>
      </c>
      <c r="M111" s="4">
        <f>AVERAGE(M11:M110)</f>
        <v>1</v>
      </c>
      <c r="N111" s="4">
        <f>AVERAGE(N11:N110)</f>
        <v>43.64</v>
      </c>
      <c r="O111" s="4">
        <f>AVERAGE(O11:O110)</f>
        <v>237.74964924202189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33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34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35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36</v>
      </c>
      <c r="B8" s="43"/>
      <c r="C8" s="2"/>
      <c r="F8" s="14" t="s">
        <v>37</v>
      </c>
      <c r="G8" s="13" t="s">
        <v>38</v>
      </c>
    </row>
    <row r="9" spans="1:27" ht="27" customHeight="1" thickBot="1" x14ac:dyDescent="0.25">
      <c r="A9" s="12" t="s">
        <v>39</v>
      </c>
      <c r="B9" s="43" t="s">
        <v>40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41</v>
      </c>
      <c r="B11" s="48" t="s">
        <v>42</v>
      </c>
      <c r="C11" s="48" t="s">
        <v>43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44</v>
      </c>
      <c r="P11" s="55"/>
      <c r="Q11" s="55"/>
      <c r="R11" s="55"/>
      <c r="S11" s="55"/>
      <c r="T11" s="53"/>
      <c r="V11" s="48" t="s">
        <v>44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45</v>
      </c>
      <c r="D12" s="5" t="s">
        <v>46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51</v>
      </c>
      <c r="J12" s="5" t="s">
        <v>52</v>
      </c>
      <c r="K12" s="5" t="s">
        <v>53</v>
      </c>
      <c r="L12" s="5" t="s">
        <v>54</v>
      </c>
      <c r="M12" s="5" t="s">
        <v>55</v>
      </c>
      <c r="O12" s="5" t="s">
        <v>45</v>
      </c>
      <c r="P12" s="5" t="s">
        <v>46</v>
      </c>
      <c r="Q12" s="5" t="s">
        <v>47</v>
      </c>
      <c r="R12" s="5" t="s">
        <v>48</v>
      </c>
      <c r="S12" s="5" t="s">
        <v>49</v>
      </c>
      <c r="T12" s="5" t="s">
        <v>50</v>
      </c>
      <c r="V12" s="5" t="s">
        <v>45</v>
      </c>
      <c r="W12" s="5" t="s">
        <v>46</v>
      </c>
      <c r="X12" s="5" t="s">
        <v>47</v>
      </c>
      <c r="Y12" s="5" t="s">
        <v>48</v>
      </c>
      <c r="Z12" s="5" t="s">
        <v>49</v>
      </c>
      <c r="AA12" s="5" t="s">
        <v>50</v>
      </c>
    </row>
    <row r="13" spans="1:27" ht="33" customHeight="1" x14ac:dyDescent="0.2">
      <c r="A13" s="17">
        <v>1</v>
      </c>
      <c r="B13" s="18">
        <v>21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0</v>
      </c>
      <c r="H13" s="36">
        <f t="shared" ref="H13:H44" si="5">IF(SUM($V13:$AA13), ROUND(AA13/SUM($V13:$AA13), 2),0)</f>
        <v>0</v>
      </c>
      <c r="I13" s="19">
        <f t="shared" ref="I13:I44" si="6">SUM(C13:H13)</f>
        <v>0</v>
      </c>
      <c r="J13" s="19">
        <f t="shared" ref="J13:J44" si="7">IF(I13&gt;0,0,B13)</f>
        <v>21</v>
      </c>
      <c r="K13" s="19">
        <f t="shared" ref="K13:K44" si="8">IF(I13&gt;0,B13,0)</f>
        <v>0</v>
      </c>
      <c r="L13" s="20">
        <f t="shared" ref="L13:L44" si="9">IF(B13&gt;0,(ABS(B13-$J$115)),0)</f>
        <v>4.4444444444444287E-2</v>
      </c>
      <c r="M13" s="20">
        <f t="shared" ref="M13:M44" si="10">IF(I13&gt;0,0,L13)</f>
        <v>4.4444444444444287E-2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0</v>
      </c>
      <c r="T13" s="20">
        <f t="shared" ref="T13:T44" si="16">H13*$L13</f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>
        <v>21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0</v>
      </c>
      <c r="H14" s="36">
        <f t="shared" si="5"/>
        <v>0</v>
      </c>
      <c r="I14" s="19">
        <f t="shared" si="6"/>
        <v>0</v>
      </c>
      <c r="J14" s="19">
        <f t="shared" si="7"/>
        <v>21</v>
      </c>
      <c r="K14" s="19">
        <f t="shared" si="8"/>
        <v>0</v>
      </c>
      <c r="L14" s="20">
        <f t="shared" si="9"/>
        <v>4.4444444444444287E-2</v>
      </c>
      <c r="M14" s="20">
        <f t="shared" si="10"/>
        <v>4.4444444444444287E-2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0</v>
      </c>
      <c r="T14" s="20">
        <f t="shared" si="16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>
        <v>22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4"/>
        <v>0</v>
      </c>
      <c r="H15" s="36">
        <f t="shared" si="5"/>
        <v>0</v>
      </c>
      <c r="I15" s="19">
        <f t="shared" si="6"/>
        <v>0</v>
      </c>
      <c r="J15" s="19">
        <f t="shared" si="7"/>
        <v>22</v>
      </c>
      <c r="K15" s="19">
        <f t="shared" si="8"/>
        <v>0</v>
      </c>
      <c r="L15" s="20">
        <f t="shared" si="9"/>
        <v>1.0444444444444443</v>
      </c>
      <c r="M15" s="20">
        <f t="shared" si="10"/>
        <v>1.0444444444444443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0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>
        <v>24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24</v>
      </c>
      <c r="K16" s="19">
        <f t="shared" si="8"/>
        <v>0</v>
      </c>
      <c r="L16" s="20">
        <f t="shared" si="9"/>
        <v>3.0444444444444443</v>
      </c>
      <c r="M16" s="20">
        <f t="shared" si="10"/>
        <v>3.0444444444444443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22</v>
      </c>
      <c r="C17" s="36">
        <f t="shared" si="0"/>
        <v>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4"/>
        <v>0</v>
      </c>
      <c r="H17" s="36">
        <f t="shared" si="5"/>
        <v>0</v>
      </c>
      <c r="I17" s="19">
        <f t="shared" si="6"/>
        <v>0</v>
      </c>
      <c r="J17" s="19">
        <f t="shared" si="7"/>
        <v>22</v>
      </c>
      <c r="K17" s="19">
        <f t="shared" si="8"/>
        <v>0</v>
      </c>
      <c r="L17" s="20">
        <f t="shared" si="9"/>
        <v>1.0444444444444443</v>
      </c>
      <c r="M17" s="20">
        <f t="shared" si="10"/>
        <v>1.0444444444444443</v>
      </c>
      <c r="O17" s="20">
        <f t="shared" si="11"/>
        <v>0</v>
      </c>
      <c r="P17" s="20">
        <f t="shared" si="12"/>
        <v>0</v>
      </c>
      <c r="Q17" s="20">
        <f t="shared" si="13"/>
        <v>0</v>
      </c>
      <c r="R17" s="20">
        <f t="shared" si="14"/>
        <v>0</v>
      </c>
      <c r="S17" s="20">
        <f t="shared" si="15"/>
        <v>0</v>
      </c>
      <c r="T17" s="20">
        <f t="shared" si="16"/>
        <v>0</v>
      </c>
      <c r="V17" s="20"/>
      <c r="W17" s="20"/>
      <c r="X17" s="20"/>
      <c r="Y17" s="20"/>
      <c r="Z17" s="20"/>
      <c r="AA17" s="20"/>
    </row>
    <row r="18" spans="1:27" ht="33" customHeight="1" x14ac:dyDescent="0.2">
      <c r="A18" s="17">
        <v>6</v>
      </c>
      <c r="B18" s="21">
        <v>27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0</v>
      </c>
      <c r="H18" s="36">
        <f t="shared" si="5"/>
        <v>0</v>
      </c>
      <c r="I18" s="19">
        <f t="shared" si="6"/>
        <v>0</v>
      </c>
      <c r="J18" s="19">
        <f t="shared" si="7"/>
        <v>27</v>
      </c>
      <c r="K18" s="19">
        <f t="shared" si="8"/>
        <v>0</v>
      </c>
      <c r="L18" s="20">
        <f t="shared" si="9"/>
        <v>6.0444444444444443</v>
      </c>
      <c r="M18" s="20">
        <f t="shared" si="10"/>
        <v>6.0444444444444443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0</v>
      </c>
      <c r="T18" s="20">
        <f t="shared" si="16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>
        <v>20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20</v>
      </c>
      <c r="K19" s="19">
        <f t="shared" si="8"/>
        <v>0</v>
      </c>
      <c r="L19" s="20">
        <f t="shared" si="9"/>
        <v>0.95555555555555571</v>
      </c>
      <c r="M19" s="20">
        <f t="shared" si="10"/>
        <v>0.95555555555555571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19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19</v>
      </c>
      <c r="K20" s="19">
        <f t="shared" si="8"/>
        <v>0</v>
      </c>
      <c r="L20" s="20">
        <f t="shared" si="9"/>
        <v>1.9555555555555557</v>
      </c>
      <c r="M20" s="20">
        <f t="shared" si="10"/>
        <v>1.9555555555555557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254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1</v>
      </c>
      <c r="G21" s="36">
        <f t="shared" si="4"/>
        <v>0</v>
      </c>
      <c r="H21" s="36">
        <f t="shared" si="5"/>
        <v>0</v>
      </c>
      <c r="I21" s="19">
        <f t="shared" si="6"/>
        <v>1</v>
      </c>
      <c r="J21" s="19">
        <f t="shared" si="7"/>
        <v>0</v>
      </c>
      <c r="K21" s="19">
        <f t="shared" si="8"/>
        <v>254</v>
      </c>
      <c r="L21" s="20">
        <f t="shared" si="9"/>
        <v>233.04444444444445</v>
      </c>
      <c r="M21" s="20">
        <f t="shared" si="10"/>
        <v>0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233.04444444444445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>
        <v>235</v>
      </c>
      <c r="Z21" s="20"/>
      <c r="AA21" s="20"/>
    </row>
    <row r="22" spans="1:27" ht="33" customHeight="1" x14ac:dyDescent="0.2">
      <c r="A22" s="17">
        <v>10</v>
      </c>
      <c r="B22" s="21">
        <v>17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17</v>
      </c>
      <c r="K22" s="19">
        <f t="shared" si="8"/>
        <v>0</v>
      </c>
      <c r="L22" s="20">
        <f t="shared" si="9"/>
        <v>3.9555555555555557</v>
      </c>
      <c r="M22" s="20">
        <f t="shared" si="10"/>
        <v>3.9555555555555557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41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41</v>
      </c>
      <c r="K23" s="19">
        <f t="shared" si="8"/>
        <v>0</v>
      </c>
      <c r="L23" s="20">
        <f t="shared" si="9"/>
        <v>20.044444444444444</v>
      </c>
      <c r="M23" s="20">
        <f t="shared" si="10"/>
        <v>20.044444444444444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25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4"/>
        <v>0</v>
      </c>
      <c r="H24" s="36">
        <f t="shared" si="5"/>
        <v>0</v>
      </c>
      <c r="I24" s="19">
        <f t="shared" si="6"/>
        <v>0</v>
      </c>
      <c r="J24" s="19">
        <f t="shared" si="7"/>
        <v>25</v>
      </c>
      <c r="K24" s="19">
        <f t="shared" si="8"/>
        <v>0</v>
      </c>
      <c r="L24" s="20">
        <f t="shared" si="9"/>
        <v>4.0444444444444443</v>
      </c>
      <c r="M24" s="20">
        <f t="shared" si="10"/>
        <v>4.0444444444444443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0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>
        <v>18</v>
      </c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0</v>
      </c>
      <c r="H25" s="36">
        <f t="shared" si="5"/>
        <v>0</v>
      </c>
      <c r="I25" s="19">
        <f t="shared" si="6"/>
        <v>0</v>
      </c>
      <c r="J25" s="19">
        <f t="shared" si="7"/>
        <v>18</v>
      </c>
      <c r="K25" s="19">
        <f t="shared" si="8"/>
        <v>0</v>
      </c>
      <c r="L25" s="20">
        <f t="shared" si="9"/>
        <v>2.9555555555555557</v>
      </c>
      <c r="M25" s="20">
        <f t="shared" si="10"/>
        <v>2.9555555555555557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0</v>
      </c>
      <c r="T25" s="20">
        <f t="shared" si="16"/>
        <v>0</v>
      </c>
      <c r="V25" s="20"/>
      <c r="W25" s="20"/>
      <c r="X25" s="20"/>
      <c r="Y25" s="20"/>
      <c r="Z25" s="20"/>
      <c r="AA25" s="20"/>
    </row>
    <row r="26" spans="1:27" ht="33" customHeight="1" x14ac:dyDescent="0.2">
      <c r="A26" s="17">
        <v>14</v>
      </c>
      <c r="B26" s="21">
        <v>19</v>
      </c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19</v>
      </c>
      <c r="K26" s="19">
        <f t="shared" si="8"/>
        <v>0</v>
      </c>
      <c r="L26" s="20">
        <f t="shared" si="9"/>
        <v>1.9555555555555557</v>
      </c>
      <c r="M26" s="20">
        <f t="shared" si="10"/>
        <v>1.9555555555555557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>
        <v>21</v>
      </c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21</v>
      </c>
      <c r="K27" s="19">
        <f t="shared" si="8"/>
        <v>0</v>
      </c>
      <c r="L27" s="20">
        <f t="shared" si="9"/>
        <v>4.4444444444444287E-2</v>
      </c>
      <c r="M27" s="20">
        <f t="shared" si="10"/>
        <v>4.4444444444444287E-2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>
        <v>18</v>
      </c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18</v>
      </c>
      <c r="K28" s="19">
        <f t="shared" si="8"/>
        <v>0</v>
      </c>
      <c r="L28" s="20">
        <f t="shared" si="9"/>
        <v>2.9555555555555557</v>
      </c>
      <c r="M28" s="20">
        <f t="shared" si="10"/>
        <v>2.9555555555555557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>
        <v>18</v>
      </c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18</v>
      </c>
      <c r="K29" s="19">
        <f t="shared" si="8"/>
        <v>0</v>
      </c>
      <c r="L29" s="20">
        <f t="shared" si="9"/>
        <v>2.9555555555555557</v>
      </c>
      <c r="M29" s="20">
        <f t="shared" si="10"/>
        <v>2.9555555555555557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>
        <v>32</v>
      </c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32</v>
      </c>
      <c r="K30" s="19">
        <f t="shared" si="8"/>
        <v>0</v>
      </c>
      <c r="L30" s="20">
        <f t="shared" si="9"/>
        <v>11.044444444444444</v>
      </c>
      <c r="M30" s="20">
        <f t="shared" si="10"/>
        <v>11.044444444444444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>
        <v>23</v>
      </c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0</v>
      </c>
      <c r="H31" s="36">
        <f t="shared" si="5"/>
        <v>0</v>
      </c>
      <c r="I31" s="19">
        <f t="shared" si="6"/>
        <v>0</v>
      </c>
      <c r="J31" s="19">
        <f t="shared" si="7"/>
        <v>23</v>
      </c>
      <c r="K31" s="19">
        <f t="shared" si="8"/>
        <v>0</v>
      </c>
      <c r="L31" s="20">
        <f t="shared" si="9"/>
        <v>2.0444444444444443</v>
      </c>
      <c r="M31" s="20">
        <f t="shared" si="10"/>
        <v>2.0444444444444443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0</v>
      </c>
      <c r="T31" s="20">
        <f t="shared" si="16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>
        <v>305</v>
      </c>
      <c r="C32" s="36">
        <f t="shared" si="0"/>
        <v>0</v>
      </c>
      <c r="D32" s="36">
        <f t="shared" si="1"/>
        <v>0</v>
      </c>
      <c r="E32" s="36">
        <f t="shared" si="2"/>
        <v>1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1</v>
      </c>
      <c r="J32" s="19">
        <f t="shared" si="7"/>
        <v>0</v>
      </c>
      <c r="K32" s="19">
        <f t="shared" si="8"/>
        <v>305</v>
      </c>
      <c r="L32" s="20">
        <f t="shared" si="9"/>
        <v>284.04444444444442</v>
      </c>
      <c r="M32" s="20">
        <f t="shared" si="10"/>
        <v>0</v>
      </c>
      <c r="O32" s="20">
        <f t="shared" si="11"/>
        <v>0</v>
      </c>
      <c r="P32" s="20">
        <f t="shared" si="12"/>
        <v>0</v>
      </c>
      <c r="Q32" s="20">
        <f t="shared" si="13"/>
        <v>284.04444444444442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>
        <v>181</v>
      </c>
      <c r="Y32" s="20"/>
      <c r="Z32" s="20"/>
      <c r="AA32" s="20"/>
    </row>
    <row r="33" spans="1:27" ht="33" customHeight="1" x14ac:dyDescent="0.2">
      <c r="A33" s="17">
        <v>21</v>
      </c>
      <c r="B33" s="21">
        <v>26</v>
      </c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0</v>
      </c>
      <c r="G33" s="36">
        <f t="shared" si="4"/>
        <v>0</v>
      </c>
      <c r="H33" s="36">
        <f t="shared" si="5"/>
        <v>0</v>
      </c>
      <c r="I33" s="19">
        <f t="shared" si="6"/>
        <v>0</v>
      </c>
      <c r="J33" s="19">
        <f t="shared" si="7"/>
        <v>26</v>
      </c>
      <c r="K33" s="19">
        <f t="shared" si="8"/>
        <v>0</v>
      </c>
      <c r="L33" s="20">
        <f t="shared" si="9"/>
        <v>5.0444444444444443</v>
      </c>
      <c r="M33" s="20">
        <f t="shared" si="10"/>
        <v>5.0444444444444443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0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>
        <v>20</v>
      </c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0</v>
      </c>
      <c r="H34" s="36">
        <f t="shared" si="5"/>
        <v>0</v>
      </c>
      <c r="I34" s="19">
        <f t="shared" si="6"/>
        <v>0</v>
      </c>
      <c r="J34" s="19">
        <f t="shared" si="7"/>
        <v>20</v>
      </c>
      <c r="K34" s="19">
        <f t="shared" si="8"/>
        <v>0</v>
      </c>
      <c r="L34" s="20">
        <f t="shared" si="9"/>
        <v>0.95555555555555571</v>
      </c>
      <c r="M34" s="20">
        <f t="shared" si="10"/>
        <v>0.95555555555555571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0</v>
      </c>
      <c r="T34" s="20">
        <f t="shared" si="16"/>
        <v>0</v>
      </c>
      <c r="V34" s="20"/>
      <c r="W34" s="20"/>
      <c r="X34" s="20"/>
      <c r="Y34" s="20"/>
      <c r="Z34" s="20"/>
      <c r="AA34" s="20"/>
    </row>
    <row r="35" spans="1:27" ht="33" customHeight="1" x14ac:dyDescent="0.2">
      <c r="A35" s="17">
        <v>23</v>
      </c>
      <c r="B35" s="21">
        <v>19</v>
      </c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0</v>
      </c>
      <c r="G35" s="36">
        <f t="shared" si="4"/>
        <v>0</v>
      </c>
      <c r="H35" s="36">
        <f t="shared" si="5"/>
        <v>0</v>
      </c>
      <c r="I35" s="19">
        <f t="shared" si="6"/>
        <v>0</v>
      </c>
      <c r="J35" s="19">
        <f t="shared" si="7"/>
        <v>19</v>
      </c>
      <c r="K35" s="19">
        <f t="shared" si="8"/>
        <v>0</v>
      </c>
      <c r="L35" s="20">
        <f t="shared" si="9"/>
        <v>1.9555555555555557</v>
      </c>
      <c r="M35" s="20">
        <f t="shared" si="10"/>
        <v>1.9555555555555557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0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>
        <v>17</v>
      </c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17</v>
      </c>
      <c r="K36" s="19">
        <f t="shared" si="8"/>
        <v>0</v>
      </c>
      <c r="L36" s="20">
        <f t="shared" si="9"/>
        <v>3.9555555555555557</v>
      </c>
      <c r="M36" s="20">
        <f t="shared" si="10"/>
        <v>3.9555555555555557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>
        <v>20</v>
      </c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20</v>
      </c>
      <c r="K37" s="19">
        <f t="shared" si="8"/>
        <v>0</v>
      </c>
      <c r="L37" s="20">
        <f t="shared" si="9"/>
        <v>0.95555555555555571</v>
      </c>
      <c r="M37" s="20">
        <f t="shared" si="10"/>
        <v>0.95555555555555571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>
        <v>22</v>
      </c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22</v>
      </c>
      <c r="K38" s="19">
        <f t="shared" si="8"/>
        <v>0</v>
      </c>
      <c r="L38" s="20">
        <f t="shared" si="9"/>
        <v>1.0444444444444443</v>
      </c>
      <c r="M38" s="20">
        <f t="shared" si="10"/>
        <v>1.0444444444444443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>
        <v>19</v>
      </c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19</v>
      </c>
      <c r="K39" s="19">
        <f t="shared" si="8"/>
        <v>0</v>
      </c>
      <c r="L39" s="20">
        <f t="shared" si="9"/>
        <v>1.9555555555555557</v>
      </c>
      <c r="M39" s="20">
        <f t="shared" si="10"/>
        <v>1.9555555555555557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>
        <v>21</v>
      </c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4"/>
        <v>0</v>
      </c>
      <c r="H40" s="36">
        <f t="shared" si="5"/>
        <v>0</v>
      </c>
      <c r="I40" s="19">
        <f t="shared" si="6"/>
        <v>0</v>
      </c>
      <c r="J40" s="19">
        <f t="shared" si="7"/>
        <v>21</v>
      </c>
      <c r="K40" s="19">
        <f t="shared" si="8"/>
        <v>0</v>
      </c>
      <c r="L40" s="20">
        <f t="shared" si="9"/>
        <v>4.4444444444444287E-2</v>
      </c>
      <c r="M40" s="20">
        <f t="shared" si="10"/>
        <v>4.4444444444444287E-2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0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>
        <v>18</v>
      </c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18</v>
      </c>
      <c r="K41" s="19">
        <f t="shared" si="8"/>
        <v>0</v>
      </c>
      <c r="L41" s="20">
        <f t="shared" si="9"/>
        <v>2.9555555555555557</v>
      </c>
      <c r="M41" s="20">
        <f t="shared" si="10"/>
        <v>2.9555555555555557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>
        <v>147</v>
      </c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1</v>
      </c>
      <c r="G42" s="36">
        <f t="shared" si="4"/>
        <v>0</v>
      </c>
      <c r="H42" s="36">
        <f t="shared" si="5"/>
        <v>0</v>
      </c>
      <c r="I42" s="19">
        <f t="shared" si="6"/>
        <v>1</v>
      </c>
      <c r="J42" s="19">
        <f t="shared" si="7"/>
        <v>0</v>
      </c>
      <c r="K42" s="19">
        <f t="shared" si="8"/>
        <v>147</v>
      </c>
      <c r="L42" s="20">
        <f t="shared" si="9"/>
        <v>126.04444444444445</v>
      </c>
      <c r="M42" s="20">
        <f t="shared" si="10"/>
        <v>0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126.04444444444445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>
        <v>123</v>
      </c>
      <c r="Z42" s="20"/>
      <c r="AA42" s="20"/>
    </row>
    <row r="43" spans="1:27" ht="33" customHeight="1" x14ac:dyDescent="0.2">
      <c r="A43" s="17">
        <v>31</v>
      </c>
      <c r="B43" s="21">
        <v>16</v>
      </c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16</v>
      </c>
      <c r="K43" s="19">
        <f t="shared" si="8"/>
        <v>0</v>
      </c>
      <c r="L43" s="20">
        <f t="shared" si="9"/>
        <v>4.9555555555555557</v>
      </c>
      <c r="M43" s="20">
        <f t="shared" si="10"/>
        <v>4.9555555555555557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>
        <v>19</v>
      </c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19</v>
      </c>
      <c r="K44" s="19">
        <f t="shared" si="8"/>
        <v>0</v>
      </c>
      <c r="L44" s="20">
        <f t="shared" si="9"/>
        <v>1.9555555555555557</v>
      </c>
      <c r="M44" s="20">
        <f t="shared" si="10"/>
        <v>1.9555555555555557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>
        <v>19</v>
      </c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0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0</v>
      </c>
      <c r="J45" s="19">
        <f t="shared" ref="J45:J76" si="24">IF(I45&gt;0,0,B45)</f>
        <v>19</v>
      </c>
      <c r="K45" s="19">
        <f t="shared" ref="K45:K76" si="25">IF(I45&gt;0,B45,0)</f>
        <v>0</v>
      </c>
      <c r="L45" s="20">
        <f t="shared" ref="L45:L76" si="26">IF(B45&gt;0,(ABS(B45-$J$115)),0)</f>
        <v>1.9555555555555557</v>
      </c>
      <c r="M45" s="20">
        <f t="shared" ref="M45:M76" si="27">IF(I45&gt;0,0,L45)</f>
        <v>1.9555555555555557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0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>
        <v>18</v>
      </c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18</v>
      </c>
      <c r="K46" s="19">
        <f t="shared" si="25"/>
        <v>0</v>
      </c>
      <c r="L46" s="20">
        <f t="shared" si="26"/>
        <v>2.9555555555555557</v>
      </c>
      <c r="M46" s="20">
        <f t="shared" si="27"/>
        <v>2.9555555555555557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>
        <v>20</v>
      </c>
      <c r="C47" s="36">
        <f t="shared" si="17"/>
        <v>0</v>
      </c>
      <c r="D47" s="36">
        <f t="shared" si="18"/>
        <v>0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0</v>
      </c>
      <c r="J47" s="19">
        <f t="shared" si="24"/>
        <v>20</v>
      </c>
      <c r="K47" s="19">
        <f t="shared" si="25"/>
        <v>0</v>
      </c>
      <c r="L47" s="20">
        <f t="shared" si="26"/>
        <v>0.95555555555555571</v>
      </c>
      <c r="M47" s="20">
        <f t="shared" si="27"/>
        <v>0.95555555555555571</v>
      </c>
      <c r="O47" s="20">
        <f t="shared" si="28"/>
        <v>0</v>
      </c>
      <c r="P47" s="20">
        <f t="shared" si="29"/>
        <v>0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>
        <v>21</v>
      </c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21</v>
      </c>
      <c r="K48" s="19">
        <f t="shared" si="25"/>
        <v>0</v>
      </c>
      <c r="L48" s="20">
        <f t="shared" si="26"/>
        <v>4.4444444444444287E-2</v>
      </c>
      <c r="M48" s="20">
        <f t="shared" si="27"/>
        <v>4.4444444444444287E-2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>
        <v>16</v>
      </c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0</v>
      </c>
      <c r="H49" s="36">
        <f t="shared" si="22"/>
        <v>0</v>
      </c>
      <c r="I49" s="19">
        <f t="shared" si="23"/>
        <v>0</v>
      </c>
      <c r="J49" s="19">
        <f t="shared" si="24"/>
        <v>16</v>
      </c>
      <c r="K49" s="19">
        <f t="shared" si="25"/>
        <v>0</v>
      </c>
      <c r="L49" s="20">
        <f t="shared" si="26"/>
        <v>4.9555555555555557</v>
      </c>
      <c r="M49" s="20">
        <f t="shared" si="27"/>
        <v>4.9555555555555557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0</v>
      </c>
      <c r="T49" s="20">
        <f t="shared" si="33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>
        <v>22</v>
      </c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0</v>
      </c>
      <c r="G50" s="36">
        <f t="shared" si="21"/>
        <v>0</v>
      </c>
      <c r="H50" s="36">
        <f t="shared" si="22"/>
        <v>0</v>
      </c>
      <c r="I50" s="19">
        <f t="shared" si="23"/>
        <v>0</v>
      </c>
      <c r="J50" s="19">
        <f t="shared" si="24"/>
        <v>22</v>
      </c>
      <c r="K50" s="19">
        <f t="shared" si="25"/>
        <v>0</v>
      </c>
      <c r="L50" s="20">
        <f t="shared" si="26"/>
        <v>1.0444444444444443</v>
      </c>
      <c r="M50" s="20">
        <f t="shared" si="27"/>
        <v>1.0444444444444443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0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>
        <v>85</v>
      </c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1</v>
      </c>
      <c r="G51" s="36">
        <f t="shared" si="21"/>
        <v>0</v>
      </c>
      <c r="H51" s="36">
        <f t="shared" si="22"/>
        <v>0</v>
      </c>
      <c r="I51" s="19">
        <f t="shared" si="23"/>
        <v>1</v>
      </c>
      <c r="J51" s="19">
        <f t="shared" si="24"/>
        <v>0</v>
      </c>
      <c r="K51" s="19">
        <f t="shared" si="25"/>
        <v>85</v>
      </c>
      <c r="L51" s="20">
        <f t="shared" si="26"/>
        <v>64.044444444444451</v>
      </c>
      <c r="M51" s="20">
        <f t="shared" si="27"/>
        <v>0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64.044444444444451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>
        <v>63</v>
      </c>
      <c r="Z51" s="20"/>
      <c r="AA51" s="20"/>
    </row>
    <row r="52" spans="1:27" ht="33" customHeight="1" x14ac:dyDescent="0.2">
      <c r="A52" s="17">
        <v>40</v>
      </c>
      <c r="B52" s="21">
        <v>21</v>
      </c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21</v>
      </c>
      <c r="K52" s="19">
        <f t="shared" si="25"/>
        <v>0</v>
      </c>
      <c r="L52" s="20">
        <f t="shared" si="26"/>
        <v>4.4444444444444287E-2</v>
      </c>
      <c r="M52" s="20">
        <f t="shared" si="27"/>
        <v>4.4444444444444287E-2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>
        <v>20</v>
      </c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20</v>
      </c>
      <c r="K53" s="19">
        <f t="shared" si="25"/>
        <v>0</v>
      </c>
      <c r="L53" s="20">
        <f t="shared" si="26"/>
        <v>0.95555555555555571</v>
      </c>
      <c r="M53" s="20">
        <f t="shared" si="27"/>
        <v>0.95555555555555571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>
        <v>20</v>
      </c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0</v>
      </c>
      <c r="G54" s="36">
        <f t="shared" si="21"/>
        <v>0</v>
      </c>
      <c r="H54" s="36">
        <f t="shared" si="22"/>
        <v>0</v>
      </c>
      <c r="I54" s="19">
        <f t="shared" si="23"/>
        <v>0</v>
      </c>
      <c r="J54" s="19">
        <f t="shared" si="24"/>
        <v>20</v>
      </c>
      <c r="K54" s="19">
        <f t="shared" si="25"/>
        <v>0</v>
      </c>
      <c r="L54" s="20">
        <f t="shared" si="26"/>
        <v>0.95555555555555571</v>
      </c>
      <c r="M54" s="20">
        <f t="shared" si="27"/>
        <v>0.95555555555555571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0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>
        <v>43</v>
      </c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43</v>
      </c>
      <c r="K55" s="19">
        <f t="shared" si="25"/>
        <v>0</v>
      </c>
      <c r="L55" s="20">
        <f t="shared" si="26"/>
        <v>22.044444444444444</v>
      </c>
      <c r="M55" s="20">
        <f t="shared" si="27"/>
        <v>22.044444444444444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>
        <v>17</v>
      </c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17</v>
      </c>
      <c r="K56" s="19">
        <f t="shared" si="25"/>
        <v>0</v>
      </c>
      <c r="L56" s="20">
        <f t="shared" si="26"/>
        <v>3.9555555555555557</v>
      </c>
      <c r="M56" s="20">
        <f t="shared" si="27"/>
        <v>3.9555555555555557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>
        <v>18</v>
      </c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18</v>
      </c>
      <c r="K57" s="19">
        <f t="shared" si="25"/>
        <v>0</v>
      </c>
      <c r="L57" s="20">
        <f t="shared" si="26"/>
        <v>2.9555555555555557</v>
      </c>
      <c r="M57" s="20">
        <f t="shared" si="27"/>
        <v>2.9555555555555557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>
        <v>18</v>
      </c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0</v>
      </c>
      <c r="G58" s="36">
        <f t="shared" si="21"/>
        <v>0</v>
      </c>
      <c r="H58" s="36">
        <f t="shared" si="22"/>
        <v>0</v>
      </c>
      <c r="I58" s="19">
        <f t="shared" si="23"/>
        <v>0</v>
      </c>
      <c r="J58" s="19">
        <f t="shared" si="24"/>
        <v>18</v>
      </c>
      <c r="K58" s="19">
        <f t="shared" si="25"/>
        <v>0</v>
      </c>
      <c r="L58" s="20">
        <f t="shared" si="26"/>
        <v>2.9555555555555557</v>
      </c>
      <c r="M58" s="20">
        <f t="shared" si="27"/>
        <v>2.9555555555555557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0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>
        <v>17</v>
      </c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17</v>
      </c>
      <c r="K59" s="19">
        <f t="shared" si="25"/>
        <v>0</v>
      </c>
      <c r="L59" s="20">
        <f t="shared" si="26"/>
        <v>3.9555555555555557</v>
      </c>
      <c r="M59" s="20">
        <f t="shared" si="27"/>
        <v>3.9555555555555557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>
        <v>19</v>
      </c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19</v>
      </c>
      <c r="K60" s="19">
        <f t="shared" si="25"/>
        <v>0</v>
      </c>
      <c r="L60" s="20">
        <f t="shared" si="26"/>
        <v>1.9555555555555557</v>
      </c>
      <c r="M60" s="20">
        <f t="shared" si="27"/>
        <v>1.9555555555555557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>
        <v>102</v>
      </c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1</v>
      </c>
      <c r="G61" s="36">
        <f t="shared" si="21"/>
        <v>0</v>
      </c>
      <c r="H61" s="36">
        <f t="shared" si="22"/>
        <v>0</v>
      </c>
      <c r="I61" s="19">
        <f t="shared" si="23"/>
        <v>1</v>
      </c>
      <c r="J61" s="19">
        <f t="shared" si="24"/>
        <v>0</v>
      </c>
      <c r="K61" s="19">
        <f t="shared" si="25"/>
        <v>102</v>
      </c>
      <c r="L61" s="20">
        <f t="shared" si="26"/>
        <v>81.044444444444451</v>
      </c>
      <c r="M61" s="20">
        <f t="shared" si="27"/>
        <v>0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81.044444444444451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>
        <v>83</v>
      </c>
      <c r="Z61" s="20"/>
      <c r="AA61" s="20"/>
    </row>
    <row r="62" spans="1:27" ht="33" customHeight="1" x14ac:dyDescent="0.2">
      <c r="A62" s="17">
        <v>50</v>
      </c>
      <c r="B62" s="21">
        <v>19</v>
      </c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19</v>
      </c>
      <c r="K62" s="19">
        <f t="shared" si="25"/>
        <v>0</v>
      </c>
      <c r="L62" s="20">
        <f t="shared" si="26"/>
        <v>1.9555555555555557</v>
      </c>
      <c r="M62" s="20">
        <f t="shared" si="27"/>
        <v>1.9555555555555557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>
        <v>18</v>
      </c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18</v>
      </c>
      <c r="K63" s="19">
        <f t="shared" si="25"/>
        <v>0</v>
      </c>
      <c r="L63" s="20">
        <f t="shared" si="26"/>
        <v>2.9555555555555557</v>
      </c>
      <c r="M63" s="20">
        <f t="shared" si="27"/>
        <v>2.9555555555555557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>
        <v>16</v>
      </c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0</v>
      </c>
      <c r="H64" s="36">
        <f t="shared" si="22"/>
        <v>0</v>
      </c>
      <c r="I64" s="19">
        <f t="shared" si="23"/>
        <v>0</v>
      </c>
      <c r="J64" s="19">
        <f t="shared" si="24"/>
        <v>16</v>
      </c>
      <c r="K64" s="19">
        <f t="shared" si="25"/>
        <v>0</v>
      </c>
      <c r="L64" s="20">
        <f t="shared" si="26"/>
        <v>4.9555555555555557</v>
      </c>
      <c r="M64" s="20">
        <f t="shared" si="27"/>
        <v>4.9555555555555557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0</v>
      </c>
      <c r="T64" s="20">
        <f t="shared" si="33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>
        <v>19</v>
      </c>
      <c r="C65" s="36">
        <f t="shared" si="17"/>
        <v>0</v>
      </c>
      <c r="D65" s="36">
        <f t="shared" si="18"/>
        <v>0</v>
      </c>
      <c r="E65" s="36">
        <f t="shared" si="19"/>
        <v>0</v>
      </c>
      <c r="F65" s="36">
        <f t="shared" si="20"/>
        <v>0</v>
      </c>
      <c r="G65" s="36">
        <f t="shared" si="21"/>
        <v>0</v>
      </c>
      <c r="H65" s="36">
        <f t="shared" si="22"/>
        <v>0</v>
      </c>
      <c r="I65" s="19">
        <f t="shared" si="23"/>
        <v>0</v>
      </c>
      <c r="J65" s="19">
        <f t="shared" si="24"/>
        <v>19</v>
      </c>
      <c r="K65" s="19">
        <f t="shared" si="25"/>
        <v>0</v>
      </c>
      <c r="L65" s="20">
        <f t="shared" si="26"/>
        <v>1.9555555555555557</v>
      </c>
      <c r="M65" s="20">
        <f t="shared" si="27"/>
        <v>1.9555555555555557</v>
      </c>
      <c r="O65" s="20">
        <f t="shared" si="28"/>
        <v>0</v>
      </c>
      <c r="P65" s="20">
        <f t="shared" si="29"/>
        <v>0</v>
      </c>
      <c r="Q65" s="20">
        <f t="shared" si="30"/>
        <v>0</v>
      </c>
      <c r="R65" s="20">
        <f t="shared" si="31"/>
        <v>0</v>
      </c>
      <c r="S65" s="20">
        <f t="shared" si="32"/>
        <v>0</v>
      </c>
      <c r="T65" s="20">
        <f t="shared" si="33"/>
        <v>0</v>
      </c>
      <c r="V65" s="20"/>
      <c r="W65" s="20"/>
      <c r="X65" s="20"/>
      <c r="Y65" s="20"/>
      <c r="Z65" s="20"/>
      <c r="AA65" s="20"/>
    </row>
    <row r="66" spans="1:27" ht="33" customHeight="1" x14ac:dyDescent="0.2">
      <c r="A66" s="17">
        <v>54</v>
      </c>
      <c r="B66" s="21">
        <v>26</v>
      </c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26</v>
      </c>
      <c r="K66" s="19">
        <f t="shared" si="25"/>
        <v>0</v>
      </c>
      <c r="L66" s="20">
        <f t="shared" si="26"/>
        <v>5.0444444444444443</v>
      </c>
      <c r="M66" s="20">
        <f t="shared" si="27"/>
        <v>5.0444444444444443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>
        <v>18</v>
      </c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18</v>
      </c>
      <c r="K67" s="19">
        <f t="shared" si="25"/>
        <v>0</v>
      </c>
      <c r="L67" s="20">
        <f t="shared" si="26"/>
        <v>2.9555555555555557</v>
      </c>
      <c r="M67" s="20">
        <f t="shared" si="27"/>
        <v>2.9555555555555557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>
        <v>20</v>
      </c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0</v>
      </c>
      <c r="G68" s="36">
        <f t="shared" si="21"/>
        <v>0</v>
      </c>
      <c r="H68" s="36">
        <f t="shared" si="22"/>
        <v>0</v>
      </c>
      <c r="I68" s="19">
        <f t="shared" si="23"/>
        <v>0</v>
      </c>
      <c r="J68" s="19">
        <f t="shared" si="24"/>
        <v>20</v>
      </c>
      <c r="K68" s="19">
        <f t="shared" si="25"/>
        <v>0</v>
      </c>
      <c r="L68" s="20">
        <f t="shared" si="26"/>
        <v>0.95555555555555571</v>
      </c>
      <c r="M68" s="20">
        <f t="shared" si="27"/>
        <v>0.95555555555555571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0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/>
      <c r="Z68" s="20"/>
      <c r="AA68" s="20"/>
    </row>
    <row r="69" spans="1:27" ht="33" customHeight="1" x14ac:dyDescent="0.2">
      <c r="A69" s="17">
        <v>57</v>
      </c>
      <c r="B69" s="21">
        <v>21</v>
      </c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0</v>
      </c>
      <c r="H69" s="36">
        <f t="shared" si="22"/>
        <v>0</v>
      </c>
      <c r="I69" s="19">
        <f t="shared" si="23"/>
        <v>0</v>
      </c>
      <c r="J69" s="19">
        <f t="shared" si="24"/>
        <v>21</v>
      </c>
      <c r="K69" s="19">
        <f t="shared" si="25"/>
        <v>0</v>
      </c>
      <c r="L69" s="20">
        <f t="shared" si="26"/>
        <v>4.4444444444444287E-2</v>
      </c>
      <c r="M69" s="20">
        <f t="shared" si="27"/>
        <v>4.4444444444444287E-2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0</v>
      </c>
      <c r="T69" s="20">
        <f t="shared" si="33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>
        <v>20</v>
      </c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20</v>
      </c>
      <c r="K70" s="19">
        <f t="shared" si="25"/>
        <v>0</v>
      </c>
      <c r="L70" s="20">
        <f t="shared" si="26"/>
        <v>0.95555555555555571</v>
      </c>
      <c r="M70" s="20">
        <f t="shared" si="27"/>
        <v>0.95555555555555571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>
        <v>290</v>
      </c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1</v>
      </c>
      <c r="H71" s="36">
        <f t="shared" si="22"/>
        <v>0</v>
      </c>
      <c r="I71" s="19">
        <f t="shared" si="23"/>
        <v>1</v>
      </c>
      <c r="J71" s="19">
        <f t="shared" si="24"/>
        <v>0</v>
      </c>
      <c r="K71" s="19">
        <f t="shared" si="25"/>
        <v>290</v>
      </c>
      <c r="L71" s="20">
        <f t="shared" si="26"/>
        <v>269.04444444444442</v>
      </c>
      <c r="M71" s="20">
        <f t="shared" si="27"/>
        <v>0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269.04444444444442</v>
      </c>
      <c r="T71" s="20">
        <f t="shared" si="33"/>
        <v>0</v>
      </c>
      <c r="V71" s="20"/>
      <c r="W71" s="20"/>
      <c r="X71" s="20"/>
      <c r="Y71" s="20"/>
      <c r="Z71" s="20">
        <v>267</v>
      </c>
      <c r="AA71" s="20"/>
    </row>
    <row r="72" spans="1:27" ht="33" customHeight="1" x14ac:dyDescent="0.2">
      <c r="A72" s="17">
        <v>60</v>
      </c>
      <c r="B72" s="21">
        <v>16</v>
      </c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16</v>
      </c>
      <c r="K72" s="19">
        <f t="shared" si="25"/>
        <v>0</v>
      </c>
      <c r="L72" s="20">
        <f t="shared" si="26"/>
        <v>4.9555555555555557</v>
      </c>
      <c r="M72" s="20">
        <f t="shared" si="27"/>
        <v>4.9555555555555557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>
        <v>25</v>
      </c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25</v>
      </c>
      <c r="K73" s="19">
        <f t="shared" si="25"/>
        <v>0</v>
      </c>
      <c r="L73" s="20">
        <f t="shared" si="26"/>
        <v>4.0444444444444443</v>
      </c>
      <c r="M73" s="20">
        <f t="shared" si="27"/>
        <v>4.0444444444444443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>
        <v>26</v>
      </c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26</v>
      </c>
      <c r="K74" s="19">
        <f t="shared" si="25"/>
        <v>0</v>
      </c>
      <c r="L74" s="20">
        <f t="shared" si="26"/>
        <v>5.0444444444444443</v>
      </c>
      <c r="M74" s="20">
        <f t="shared" si="27"/>
        <v>5.0444444444444443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>
        <v>18</v>
      </c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18</v>
      </c>
      <c r="K75" s="19">
        <f t="shared" si="25"/>
        <v>0</v>
      </c>
      <c r="L75" s="20">
        <f t="shared" si="26"/>
        <v>2.9555555555555557</v>
      </c>
      <c r="M75" s="20">
        <f t="shared" si="27"/>
        <v>2.9555555555555557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>
        <v>17</v>
      </c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17</v>
      </c>
      <c r="K76" s="19">
        <f t="shared" si="25"/>
        <v>0</v>
      </c>
      <c r="L76" s="20">
        <f t="shared" si="26"/>
        <v>3.9555555555555557</v>
      </c>
      <c r="M76" s="20">
        <f t="shared" si="27"/>
        <v>3.9555555555555557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>
        <v>18</v>
      </c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0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0</v>
      </c>
      <c r="J77" s="19">
        <f t="shared" ref="J77:J108" si="41">IF(I77&gt;0,0,B77)</f>
        <v>18</v>
      </c>
      <c r="K77" s="19">
        <f t="shared" ref="K77:K112" si="42">IF(I77&gt;0,B77,0)</f>
        <v>0</v>
      </c>
      <c r="L77" s="20">
        <f t="shared" ref="L77:L112" si="43">IF(B77&gt;0,(ABS(B77-$J$115)),0)</f>
        <v>2.9555555555555557</v>
      </c>
      <c r="M77" s="20">
        <f t="shared" ref="M77:M108" si="44">IF(I77&gt;0,0,L77)</f>
        <v>2.9555555555555557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0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/>
      <c r="Z77" s="20"/>
      <c r="AA77" s="20"/>
    </row>
    <row r="78" spans="1:27" ht="33" customHeight="1" x14ac:dyDescent="0.2">
      <c r="A78" s="17">
        <v>66</v>
      </c>
      <c r="B78" s="21">
        <v>17</v>
      </c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17</v>
      </c>
      <c r="K78" s="19">
        <f t="shared" si="42"/>
        <v>0</v>
      </c>
      <c r="L78" s="20">
        <f t="shared" si="43"/>
        <v>3.9555555555555557</v>
      </c>
      <c r="M78" s="20">
        <f t="shared" si="44"/>
        <v>3.9555555555555557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>
        <v>18</v>
      </c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18</v>
      </c>
      <c r="K79" s="19">
        <f t="shared" si="42"/>
        <v>0</v>
      </c>
      <c r="L79" s="20">
        <f t="shared" si="43"/>
        <v>2.9555555555555557</v>
      </c>
      <c r="M79" s="20">
        <f t="shared" si="44"/>
        <v>2.9555555555555557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>
        <v>19</v>
      </c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19</v>
      </c>
      <c r="K80" s="19">
        <f t="shared" si="42"/>
        <v>0</v>
      </c>
      <c r="L80" s="20">
        <f t="shared" si="43"/>
        <v>1.9555555555555557</v>
      </c>
      <c r="M80" s="20">
        <f t="shared" si="44"/>
        <v>1.9555555555555557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>
        <v>21</v>
      </c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21</v>
      </c>
      <c r="K81" s="19">
        <f t="shared" si="42"/>
        <v>0</v>
      </c>
      <c r="L81" s="20">
        <f t="shared" si="43"/>
        <v>4.4444444444444287E-2</v>
      </c>
      <c r="M81" s="20">
        <f t="shared" si="44"/>
        <v>4.4444444444444287E-2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>
        <v>178</v>
      </c>
      <c r="C82" s="36">
        <f t="shared" si="34"/>
        <v>0</v>
      </c>
      <c r="D82" s="36">
        <f t="shared" si="35"/>
        <v>0</v>
      </c>
      <c r="E82" s="36">
        <f t="shared" si="36"/>
        <v>1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1</v>
      </c>
      <c r="J82" s="19">
        <f t="shared" si="41"/>
        <v>0</v>
      </c>
      <c r="K82" s="19">
        <f t="shared" si="42"/>
        <v>178</v>
      </c>
      <c r="L82" s="20">
        <f t="shared" si="43"/>
        <v>157.04444444444445</v>
      </c>
      <c r="M82" s="20">
        <f t="shared" si="44"/>
        <v>0</v>
      </c>
      <c r="O82" s="20">
        <f t="shared" si="45"/>
        <v>0</v>
      </c>
      <c r="P82" s="20">
        <f t="shared" si="46"/>
        <v>0</v>
      </c>
      <c r="Q82" s="20">
        <f t="shared" si="47"/>
        <v>157.04444444444445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>
        <v>159</v>
      </c>
      <c r="Y82" s="20"/>
      <c r="Z82" s="20"/>
      <c r="AA82" s="20"/>
    </row>
    <row r="83" spans="1:27" ht="33" customHeight="1" x14ac:dyDescent="0.2">
      <c r="A83" s="17">
        <v>71</v>
      </c>
      <c r="B83" s="21">
        <v>19</v>
      </c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19</v>
      </c>
      <c r="K83" s="19">
        <f t="shared" si="42"/>
        <v>0</v>
      </c>
      <c r="L83" s="20">
        <f t="shared" si="43"/>
        <v>1.9555555555555557</v>
      </c>
      <c r="M83" s="20">
        <f t="shared" si="44"/>
        <v>1.9555555555555557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>
        <v>23</v>
      </c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23</v>
      </c>
      <c r="K84" s="19">
        <f t="shared" si="42"/>
        <v>0</v>
      </c>
      <c r="L84" s="20">
        <f t="shared" si="43"/>
        <v>2.0444444444444443</v>
      </c>
      <c r="M84" s="20">
        <f t="shared" si="44"/>
        <v>2.0444444444444443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>
        <v>18</v>
      </c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0</v>
      </c>
      <c r="G85" s="36">
        <f t="shared" si="38"/>
        <v>0</v>
      </c>
      <c r="H85" s="36">
        <f t="shared" si="39"/>
        <v>0</v>
      </c>
      <c r="I85" s="19">
        <f t="shared" si="40"/>
        <v>0</v>
      </c>
      <c r="J85" s="19">
        <f t="shared" si="41"/>
        <v>18</v>
      </c>
      <c r="K85" s="19">
        <f t="shared" si="42"/>
        <v>0</v>
      </c>
      <c r="L85" s="20">
        <f t="shared" si="43"/>
        <v>2.9555555555555557</v>
      </c>
      <c r="M85" s="20">
        <f t="shared" si="44"/>
        <v>2.9555555555555557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0</v>
      </c>
      <c r="S85" s="20">
        <f t="shared" si="49"/>
        <v>0</v>
      </c>
      <c r="T85" s="20">
        <f t="shared" si="50"/>
        <v>0</v>
      </c>
      <c r="V85" s="20"/>
      <c r="W85" s="20"/>
      <c r="X85" s="20"/>
      <c r="Y85" s="20"/>
      <c r="Z85" s="20"/>
      <c r="AA85" s="20"/>
    </row>
    <row r="86" spans="1:27" ht="33" customHeight="1" x14ac:dyDescent="0.2">
      <c r="A86" s="17">
        <v>74</v>
      </c>
      <c r="B86" s="21">
        <v>17</v>
      </c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17</v>
      </c>
      <c r="K86" s="19">
        <f t="shared" si="42"/>
        <v>0</v>
      </c>
      <c r="L86" s="20">
        <f t="shared" si="43"/>
        <v>3.9555555555555557</v>
      </c>
      <c r="M86" s="20">
        <f t="shared" si="44"/>
        <v>3.9555555555555557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>
        <v>26</v>
      </c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0</v>
      </c>
      <c r="G87" s="36">
        <f t="shared" si="38"/>
        <v>0</v>
      </c>
      <c r="H87" s="36">
        <f t="shared" si="39"/>
        <v>0</v>
      </c>
      <c r="I87" s="19">
        <f t="shared" si="40"/>
        <v>0</v>
      </c>
      <c r="J87" s="19">
        <f t="shared" si="41"/>
        <v>26</v>
      </c>
      <c r="K87" s="19">
        <f t="shared" si="42"/>
        <v>0</v>
      </c>
      <c r="L87" s="20">
        <f t="shared" si="43"/>
        <v>5.0444444444444443</v>
      </c>
      <c r="M87" s="20">
        <f t="shared" si="44"/>
        <v>5.0444444444444443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0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>
        <v>19</v>
      </c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19</v>
      </c>
      <c r="K88" s="19">
        <f t="shared" si="42"/>
        <v>0</v>
      </c>
      <c r="L88" s="20">
        <f t="shared" si="43"/>
        <v>1.9555555555555557</v>
      </c>
      <c r="M88" s="20">
        <f t="shared" si="44"/>
        <v>1.9555555555555557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>
        <v>20</v>
      </c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0</v>
      </c>
      <c r="H89" s="36">
        <f t="shared" si="39"/>
        <v>0</v>
      </c>
      <c r="I89" s="19">
        <f t="shared" si="40"/>
        <v>0</v>
      </c>
      <c r="J89" s="19">
        <f t="shared" si="41"/>
        <v>20</v>
      </c>
      <c r="K89" s="19">
        <f t="shared" si="42"/>
        <v>0</v>
      </c>
      <c r="L89" s="20">
        <f t="shared" si="43"/>
        <v>0.95555555555555571</v>
      </c>
      <c r="M89" s="20">
        <f t="shared" si="44"/>
        <v>0.95555555555555571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0</v>
      </c>
      <c r="T89" s="20">
        <f t="shared" si="50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>
        <v>21</v>
      </c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0</v>
      </c>
      <c r="G90" s="36">
        <f t="shared" si="38"/>
        <v>0</v>
      </c>
      <c r="H90" s="36">
        <f t="shared" si="39"/>
        <v>0</v>
      </c>
      <c r="I90" s="19">
        <f t="shared" si="40"/>
        <v>0</v>
      </c>
      <c r="J90" s="19">
        <f t="shared" si="41"/>
        <v>21</v>
      </c>
      <c r="K90" s="19">
        <f t="shared" si="42"/>
        <v>0</v>
      </c>
      <c r="L90" s="20">
        <f t="shared" si="43"/>
        <v>4.4444444444444287E-2</v>
      </c>
      <c r="M90" s="20">
        <f t="shared" si="44"/>
        <v>4.4444444444444287E-2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0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>
        <v>437</v>
      </c>
      <c r="C91" s="36">
        <f t="shared" si="34"/>
        <v>0</v>
      </c>
      <c r="D91" s="36">
        <f t="shared" si="35"/>
        <v>0</v>
      </c>
      <c r="E91" s="36">
        <f t="shared" si="36"/>
        <v>1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1</v>
      </c>
      <c r="J91" s="19">
        <f t="shared" si="41"/>
        <v>0</v>
      </c>
      <c r="K91" s="19">
        <f t="shared" si="42"/>
        <v>437</v>
      </c>
      <c r="L91" s="20">
        <f t="shared" si="43"/>
        <v>416.04444444444442</v>
      </c>
      <c r="M91" s="20">
        <f t="shared" si="44"/>
        <v>0</v>
      </c>
      <c r="O91" s="20">
        <f t="shared" si="45"/>
        <v>0</v>
      </c>
      <c r="P91" s="20">
        <f t="shared" si="46"/>
        <v>0</v>
      </c>
      <c r="Q91" s="20">
        <f t="shared" si="47"/>
        <v>416.04444444444442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>
        <v>415</v>
      </c>
      <c r="Y91" s="20"/>
      <c r="Z91" s="20"/>
      <c r="AA91" s="20"/>
    </row>
    <row r="92" spans="1:27" ht="33" customHeight="1" x14ac:dyDescent="0.2">
      <c r="A92" s="17">
        <v>80</v>
      </c>
      <c r="B92" s="21">
        <v>19</v>
      </c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19</v>
      </c>
      <c r="K92" s="19">
        <f t="shared" si="42"/>
        <v>0</v>
      </c>
      <c r="L92" s="20">
        <f t="shared" si="43"/>
        <v>1.9555555555555557</v>
      </c>
      <c r="M92" s="20">
        <f t="shared" si="44"/>
        <v>1.9555555555555557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>
        <v>27</v>
      </c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0</v>
      </c>
      <c r="H93" s="36">
        <f t="shared" si="39"/>
        <v>0</v>
      </c>
      <c r="I93" s="19">
        <f t="shared" si="40"/>
        <v>0</v>
      </c>
      <c r="J93" s="19">
        <f t="shared" si="41"/>
        <v>27</v>
      </c>
      <c r="K93" s="19">
        <f t="shared" si="42"/>
        <v>0</v>
      </c>
      <c r="L93" s="20">
        <f t="shared" si="43"/>
        <v>6.0444444444444443</v>
      </c>
      <c r="M93" s="20">
        <f t="shared" si="44"/>
        <v>6.0444444444444443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0</v>
      </c>
      <c r="T93" s="20">
        <f t="shared" si="50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>
        <v>24</v>
      </c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24</v>
      </c>
      <c r="K94" s="19">
        <f t="shared" si="42"/>
        <v>0</v>
      </c>
      <c r="L94" s="20">
        <f t="shared" si="43"/>
        <v>3.0444444444444443</v>
      </c>
      <c r="M94" s="20">
        <f t="shared" si="44"/>
        <v>3.0444444444444443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>
        <v>26</v>
      </c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0</v>
      </c>
      <c r="G95" s="36">
        <f t="shared" si="38"/>
        <v>0</v>
      </c>
      <c r="H95" s="36">
        <f t="shared" si="39"/>
        <v>0</v>
      </c>
      <c r="I95" s="19">
        <f t="shared" si="40"/>
        <v>0</v>
      </c>
      <c r="J95" s="19">
        <f t="shared" si="41"/>
        <v>26</v>
      </c>
      <c r="K95" s="19">
        <f t="shared" si="42"/>
        <v>0</v>
      </c>
      <c r="L95" s="20">
        <f t="shared" si="43"/>
        <v>5.0444444444444443</v>
      </c>
      <c r="M95" s="20">
        <f t="shared" si="44"/>
        <v>5.0444444444444443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0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>
        <v>24</v>
      </c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24</v>
      </c>
      <c r="K96" s="19">
        <f t="shared" si="42"/>
        <v>0</v>
      </c>
      <c r="L96" s="20">
        <f t="shared" si="43"/>
        <v>3.0444444444444443</v>
      </c>
      <c r="M96" s="20">
        <f t="shared" si="44"/>
        <v>3.0444444444444443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>
        <v>21</v>
      </c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21</v>
      </c>
      <c r="K97" s="19">
        <f t="shared" si="42"/>
        <v>0</v>
      </c>
      <c r="L97" s="20">
        <f t="shared" si="43"/>
        <v>4.4444444444444287E-2</v>
      </c>
      <c r="M97" s="20">
        <f t="shared" si="44"/>
        <v>4.4444444444444287E-2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>
        <v>28</v>
      </c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0</v>
      </c>
      <c r="G98" s="36">
        <f t="shared" si="38"/>
        <v>0</v>
      </c>
      <c r="H98" s="36">
        <f t="shared" si="39"/>
        <v>0</v>
      </c>
      <c r="I98" s="19">
        <f t="shared" si="40"/>
        <v>0</v>
      </c>
      <c r="J98" s="19">
        <f t="shared" si="41"/>
        <v>28</v>
      </c>
      <c r="K98" s="19">
        <f t="shared" si="42"/>
        <v>0</v>
      </c>
      <c r="L98" s="20">
        <f t="shared" si="43"/>
        <v>7.0444444444444443</v>
      </c>
      <c r="M98" s="20">
        <f t="shared" si="44"/>
        <v>7.0444444444444443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0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>
        <v>19</v>
      </c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19</v>
      </c>
      <c r="K99" s="19">
        <f t="shared" si="42"/>
        <v>0</v>
      </c>
      <c r="L99" s="20">
        <f t="shared" si="43"/>
        <v>1.9555555555555557</v>
      </c>
      <c r="M99" s="20">
        <f t="shared" si="44"/>
        <v>1.9555555555555557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>
        <v>394</v>
      </c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1</v>
      </c>
      <c r="G100" s="36">
        <f t="shared" si="38"/>
        <v>0</v>
      </c>
      <c r="H100" s="36">
        <f t="shared" si="39"/>
        <v>0</v>
      </c>
      <c r="I100" s="19">
        <f t="shared" si="40"/>
        <v>1</v>
      </c>
      <c r="J100" s="19">
        <f t="shared" si="41"/>
        <v>0</v>
      </c>
      <c r="K100" s="19">
        <f t="shared" si="42"/>
        <v>394</v>
      </c>
      <c r="L100" s="20">
        <f t="shared" si="43"/>
        <v>373.04444444444442</v>
      </c>
      <c r="M100" s="20">
        <f t="shared" si="44"/>
        <v>0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373.04444444444442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>
        <v>373</v>
      </c>
      <c r="Z100" s="20"/>
      <c r="AA100" s="20"/>
    </row>
    <row r="101" spans="1:27" ht="33" customHeight="1" x14ac:dyDescent="0.2">
      <c r="A101" s="17">
        <v>89</v>
      </c>
      <c r="B101" s="21">
        <v>16</v>
      </c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16</v>
      </c>
      <c r="K101" s="19">
        <f t="shared" si="42"/>
        <v>0</v>
      </c>
      <c r="L101" s="20">
        <f t="shared" si="43"/>
        <v>4.9555555555555557</v>
      </c>
      <c r="M101" s="20">
        <f t="shared" si="44"/>
        <v>4.9555555555555557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>
        <v>18</v>
      </c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18</v>
      </c>
      <c r="K102" s="19">
        <f t="shared" si="42"/>
        <v>0</v>
      </c>
      <c r="L102" s="20">
        <f t="shared" si="43"/>
        <v>2.9555555555555557</v>
      </c>
      <c r="M102" s="20">
        <f t="shared" si="44"/>
        <v>2.9555555555555557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>
        <v>21</v>
      </c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21</v>
      </c>
      <c r="K103" s="19">
        <f t="shared" si="42"/>
        <v>0</v>
      </c>
      <c r="L103" s="20">
        <f t="shared" si="43"/>
        <v>4.4444444444444287E-2</v>
      </c>
      <c r="M103" s="20">
        <f t="shared" si="44"/>
        <v>4.4444444444444287E-2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>
        <v>23</v>
      </c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0</v>
      </c>
      <c r="H104" s="36">
        <f t="shared" si="39"/>
        <v>0</v>
      </c>
      <c r="I104" s="19">
        <f t="shared" si="40"/>
        <v>0</v>
      </c>
      <c r="J104" s="19">
        <f t="shared" si="41"/>
        <v>23</v>
      </c>
      <c r="K104" s="19">
        <f t="shared" si="42"/>
        <v>0</v>
      </c>
      <c r="L104" s="20">
        <f t="shared" si="43"/>
        <v>2.0444444444444443</v>
      </c>
      <c r="M104" s="20">
        <f t="shared" si="44"/>
        <v>2.0444444444444443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0</v>
      </c>
      <c r="T104" s="20">
        <f t="shared" si="50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>
        <v>20</v>
      </c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0</v>
      </c>
      <c r="G105" s="36">
        <f t="shared" si="38"/>
        <v>0</v>
      </c>
      <c r="H105" s="36">
        <f t="shared" si="39"/>
        <v>0</v>
      </c>
      <c r="I105" s="19">
        <f t="shared" si="40"/>
        <v>0</v>
      </c>
      <c r="J105" s="19">
        <f t="shared" si="41"/>
        <v>20</v>
      </c>
      <c r="K105" s="19">
        <f t="shared" si="42"/>
        <v>0</v>
      </c>
      <c r="L105" s="20">
        <f t="shared" si="43"/>
        <v>0.95555555555555571</v>
      </c>
      <c r="M105" s="20">
        <f t="shared" si="44"/>
        <v>0.95555555555555571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0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>
        <v>19</v>
      </c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19</v>
      </c>
      <c r="K106" s="19">
        <f t="shared" si="42"/>
        <v>0</v>
      </c>
      <c r="L106" s="20">
        <f t="shared" si="43"/>
        <v>1.9555555555555557</v>
      </c>
      <c r="M106" s="20">
        <f t="shared" si="44"/>
        <v>1.9555555555555557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>
        <v>21</v>
      </c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21</v>
      </c>
      <c r="K107" s="19">
        <f t="shared" si="42"/>
        <v>0</v>
      </c>
      <c r="L107" s="20">
        <f t="shared" si="43"/>
        <v>4.4444444444444287E-2</v>
      </c>
      <c r="M107" s="20">
        <f t="shared" si="44"/>
        <v>4.4444444444444287E-2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>
        <v>22</v>
      </c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22</v>
      </c>
      <c r="K108" s="19">
        <f t="shared" si="42"/>
        <v>0</v>
      </c>
      <c r="L108" s="20">
        <f t="shared" si="43"/>
        <v>1.0444444444444443</v>
      </c>
      <c r="M108" s="20">
        <f t="shared" si="44"/>
        <v>1.0444444444444443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>
        <v>286</v>
      </c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1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1</v>
      </c>
      <c r="J109" s="19">
        <f t="shared" ref="J109:J140" si="52">IF(I109&gt;0,0,B109)</f>
        <v>0</v>
      </c>
      <c r="K109" s="19">
        <f t="shared" si="42"/>
        <v>286</v>
      </c>
      <c r="L109" s="20">
        <f t="shared" si="43"/>
        <v>265.04444444444442</v>
      </c>
      <c r="M109" s="20">
        <f t="shared" ref="M109:M140" si="53">IF(I109&gt;0,0,L109)</f>
        <v>0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265.04444444444442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>
        <v>263</v>
      </c>
      <c r="Z109" s="20"/>
      <c r="AA109" s="20"/>
    </row>
    <row r="110" spans="1:27" ht="33" customHeight="1" x14ac:dyDescent="0.2">
      <c r="A110" s="17">
        <v>98</v>
      </c>
      <c r="B110" s="21">
        <v>24</v>
      </c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24</v>
      </c>
      <c r="K110" s="19">
        <f t="shared" si="42"/>
        <v>0</v>
      </c>
      <c r="L110" s="20">
        <f t="shared" si="43"/>
        <v>3.0444444444444443</v>
      </c>
      <c r="M110" s="20">
        <f t="shared" si="53"/>
        <v>3.0444444444444443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>
        <v>26</v>
      </c>
      <c r="C111" s="36">
        <f t="shared" si="34"/>
        <v>0</v>
      </c>
      <c r="D111" s="36">
        <f t="shared" si="35"/>
        <v>0</v>
      </c>
      <c r="E111" s="36">
        <f t="shared" si="36"/>
        <v>0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0</v>
      </c>
      <c r="J111" s="19">
        <f t="shared" si="52"/>
        <v>26</v>
      </c>
      <c r="K111" s="19">
        <f t="shared" si="42"/>
        <v>0</v>
      </c>
      <c r="L111" s="20">
        <f t="shared" si="43"/>
        <v>5.0444444444444443</v>
      </c>
      <c r="M111" s="20">
        <f t="shared" si="53"/>
        <v>5.0444444444444443</v>
      </c>
      <c r="O111" s="20">
        <f t="shared" si="45"/>
        <v>0</v>
      </c>
      <c r="P111" s="20">
        <f t="shared" si="46"/>
        <v>0</v>
      </c>
      <c r="Q111" s="20">
        <f t="shared" si="47"/>
        <v>0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>
        <v>19</v>
      </c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19</v>
      </c>
      <c r="K112" s="24">
        <f t="shared" si="42"/>
        <v>0</v>
      </c>
      <c r="L112" s="25">
        <f t="shared" si="43"/>
        <v>1.9555555555555557</v>
      </c>
      <c r="M112" s="25">
        <f t="shared" si="53"/>
        <v>1.9555555555555557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56</v>
      </c>
      <c r="B113" s="17">
        <f>COUNT(B13:B112)</f>
        <v>100</v>
      </c>
      <c r="C113" s="17">
        <f t="shared" ref="C113:H113" si="54">COUNTIF(C13:C112, "&lt;&gt;0")</f>
        <v>0</v>
      </c>
      <c r="D113" s="17">
        <f t="shared" si="54"/>
        <v>0</v>
      </c>
      <c r="E113" s="17">
        <f t="shared" si="54"/>
        <v>3</v>
      </c>
      <c r="F113" s="17">
        <f t="shared" si="54"/>
        <v>6</v>
      </c>
      <c r="G113" s="17">
        <f t="shared" si="54"/>
        <v>1</v>
      </c>
      <c r="H113" s="17">
        <f t="shared" si="54"/>
        <v>0</v>
      </c>
      <c r="I113" s="17" t="s">
        <v>56</v>
      </c>
      <c r="J113" s="17">
        <f>B113-SUM(C113:H113)</f>
        <v>90</v>
      </c>
      <c r="K113" s="17">
        <f>B113-J113</f>
        <v>10</v>
      </c>
      <c r="L113" s="17">
        <f>B113</f>
        <v>100</v>
      </c>
      <c r="M113" s="17">
        <f>J113</f>
        <v>90</v>
      </c>
      <c r="N113" s="17" t="s">
        <v>57</v>
      </c>
      <c r="O113" s="17">
        <f t="shared" ref="O113:T113" si="55">C113</f>
        <v>0</v>
      </c>
      <c r="P113" s="17">
        <f t="shared" si="55"/>
        <v>0</v>
      </c>
      <c r="Q113" s="17">
        <f t="shared" si="55"/>
        <v>3</v>
      </c>
      <c r="R113" s="17">
        <f t="shared" si="55"/>
        <v>6</v>
      </c>
      <c r="S113" s="17">
        <f t="shared" si="55"/>
        <v>1</v>
      </c>
      <c r="T113" s="17">
        <f t="shared" si="55"/>
        <v>0</v>
      </c>
    </row>
    <row r="114" spans="1:21" ht="33" customHeight="1" x14ac:dyDescent="0.2">
      <c r="A114" s="27" t="s">
        <v>58</v>
      </c>
      <c r="B114" s="27">
        <f>SUM(B13:B112)</f>
        <v>4364</v>
      </c>
      <c r="I114" s="27" t="s">
        <v>58</v>
      </c>
      <c r="J114" s="27">
        <f>SUM(J13:J112)</f>
        <v>1886</v>
      </c>
      <c r="K114" s="27">
        <f>SUM(K13:K112)</f>
        <v>2478</v>
      </c>
      <c r="L114" s="28">
        <f>SUM(L13:L112)</f>
        <v>2537.8222222222212</v>
      </c>
      <c r="M114" s="28">
        <f>SUM(M13:M112)</f>
        <v>269.37777777777762</v>
      </c>
      <c r="N114" s="27" t="s">
        <v>59</v>
      </c>
      <c r="O114" s="28">
        <f t="shared" ref="O114:T114" si="56">SUM(O13:O112)</f>
        <v>0</v>
      </c>
      <c r="P114" s="28">
        <f t="shared" si="56"/>
        <v>0</v>
      </c>
      <c r="Q114" s="28">
        <f t="shared" si="56"/>
        <v>857.13333333333321</v>
      </c>
      <c r="R114" s="28">
        <f t="shared" si="56"/>
        <v>1142.2666666666667</v>
      </c>
      <c r="S114" s="28">
        <f t="shared" si="56"/>
        <v>269.04444444444442</v>
      </c>
      <c r="T114" s="28">
        <f t="shared" si="56"/>
        <v>0</v>
      </c>
    </row>
    <row r="115" spans="1:21" ht="39" customHeight="1" x14ac:dyDescent="0.2">
      <c r="A115" s="29" t="s">
        <v>31</v>
      </c>
      <c r="B115" s="28">
        <f>B114/B113</f>
        <v>43.64</v>
      </c>
      <c r="I115" s="29" t="s">
        <v>31</v>
      </c>
      <c r="J115" s="28">
        <f>AVERAGEIF(J13:J112,"&lt;&gt;0")</f>
        <v>20.955555555555556</v>
      </c>
      <c r="K115" s="28">
        <f>AVERAGEIF(K13:K112,"&lt;&gt;0")</f>
        <v>247.8</v>
      </c>
      <c r="L115" s="28">
        <f>AVERAGEIF(L13:L112,"&lt;&gt;0")</f>
        <v>25.378222222222213</v>
      </c>
      <c r="M115" s="28">
        <f>AVERAGEIF(M13:M112,"&lt;&gt;0")</f>
        <v>2.9930864197530846</v>
      </c>
      <c r="N115" s="27" t="s">
        <v>60</v>
      </c>
      <c r="O115" s="28">
        <f t="shared" ref="O115:T115" si="57">O113/$B$113</f>
        <v>0</v>
      </c>
      <c r="P115" s="28">
        <f t="shared" si="57"/>
        <v>0</v>
      </c>
      <c r="Q115" s="28">
        <f t="shared" si="57"/>
        <v>0.03</v>
      </c>
      <c r="R115" s="28">
        <f t="shared" si="57"/>
        <v>0.06</v>
      </c>
      <c r="S115" s="28">
        <f t="shared" si="57"/>
        <v>0.01</v>
      </c>
      <c r="T115" s="28">
        <f t="shared" si="57"/>
        <v>0</v>
      </c>
    </row>
    <row r="116" spans="1:21" ht="35.1" customHeight="1" x14ac:dyDescent="0.2">
      <c r="N116" s="27" t="s">
        <v>61</v>
      </c>
      <c r="O116" s="28">
        <f t="shared" ref="O116:T116" si="58">IF(O113&gt;0,(O114/(O113*$B$115)),0)</f>
        <v>0</v>
      </c>
      <c r="P116" s="28">
        <f t="shared" si="58"/>
        <v>0</v>
      </c>
      <c r="Q116" s="28">
        <f t="shared" si="58"/>
        <v>6.5470007129035528</v>
      </c>
      <c r="R116" s="28">
        <f t="shared" si="58"/>
        <v>4.3624605356960986</v>
      </c>
      <c r="S116" s="28">
        <f t="shared" si="58"/>
        <v>6.1650880945106419</v>
      </c>
      <c r="T116" s="28">
        <f t="shared" si="58"/>
        <v>0</v>
      </c>
    </row>
    <row r="117" spans="1:21" ht="35.1" customHeight="1" x14ac:dyDescent="0.2">
      <c r="A117" s="27"/>
      <c r="B117" s="30" t="s">
        <v>62</v>
      </c>
      <c r="C117" s="30" t="s">
        <v>63</v>
      </c>
      <c r="D117" s="30" t="s">
        <v>64</v>
      </c>
      <c r="E117" s="30" t="s">
        <v>65</v>
      </c>
      <c r="N117" s="27" t="s">
        <v>66</v>
      </c>
      <c r="O117" s="28">
        <f t="shared" ref="O117:T117" si="59">O115*O116</f>
        <v>0</v>
      </c>
      <c r="P117" s="28">
        <f t="shared" si="59"/>
        <v>0</v>
      </c>
      <c r="Q117" s="28">
        <f t="shared" si="59"/>
        <v>0.19641002138710659</v>
      </c>
      <c r="R117" s="28">
        <f t="shared" si="59"/>
        <v>0.26174763214176588</v>
      </c>
      <c r="S117" s="28">
        <f t="shared" si="59"/>
        <v>6.1650880945106422E-2</v>
      </c>
      <c r="T117" s="28">
        <f t="shared" si="59"/>
        <v>0</v>
      </c>
      <c r="U117" s="31"/>
    </row>
    <row r="118" spans="1:21" ht="35.1" customHeight="1" x14ac:dyDescent="0.2">
      <c r="A118" s="27" t="s">
        <v>67</v>
      </c>
      <c r="B118" s="27">
        <f>J114</f>
        <v>1886</v>
      </c>
      <c r="C118" s="27">
        <f>J113</f>
        <v>90</v>
      </c>
      <c r="D118" s="28">
        <f>J115</f>
        <v>20.955555555555556</v>
      </c>
      <c r="E118" s="28">
        <f>M114/C118</f>
        <v>2.9930864197530846</v>
      </c>
      <c r="G118" s="27" t="s">
        <v>68</v>
      </c>
      <c r="H118" s="32">
        <f>1/J115*60*60</f>
        <v>171.79215270413573</v>
      </c>
      <c r="J118" s="27" t="s">
        <v>69</v>
      </c>
      <c r="K118" s="32">
        <f>H118*(1-SUM(O117:T117))</f>
        <v>82.493125572868948</v>
      </c>
      <c r="U118" s="31"/>
    </row>
    <row r="119" spans="1:21" ht="33.950000000000003" customHeight="1" x14ac:dyDescent="0.2">
      <c r="A119" s="29" t="s">
        <v>70</v>
      </c>
      <c r="B119" s="27">
        <f>B114</f>
        <v>4364</v>
      </c>
      <c r="C119" s="27">
        <f>B113</f>
        <v>100</v>
      </c>
      <c r="D119" s="28">
        <f>B115</f>
        <v>43.64</v>
      </c>
      <c r="E119" s="28">
        <f>L114/C119</f>
        <v>25.378222222222213</v>
      </c>
      <c r="G119" s="27" t="s">
        <v>71</v>
      </c>
      <c r="H119" s="33">
        <f>M115/J115</f>
        <v>0.14283021091080467</v>
      </c>
      <c r="J119" s="29" t="s">
        <v>72</v>
      </c>
      <c r="K119" s="33">
        <f>L115/B115</f>
        <v>0.58153579794276378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2026-06-18T06:40:55Z</dcterms:modified>
</cp:coreProperties>
</file>