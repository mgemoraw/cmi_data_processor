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Excavator" sheetId="1" state="visible" r:id="rId1"/>
    <sheet name="MPDM 1" sheetId="2" state="visible" r:id="rId2"/>
  </sheets>
  <definedNames>
    <definedName name="_xlnm.Print_Area" localSheetId="0">'Excavator'!$A$1:$S$111</definedName>
    <definedName name="_xlnm.Print_Area" localSheetId="1">'MPDM 1'!$A$1:$T$120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tabSelected="1"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7" t="n"/>
      <c r="I6" s="48" t="n"/>
      <c r="J6" s="2" t="n"/>
      <c r="L6" s="47" t="inlineStr">
        <is>
          <t>Date:</t>
        </is>
      </c>
      <c r="M6" s="4" t="n"/>
      <c r="N6" s="4" t="n"/>
      <c r="O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Excavator Type (Face Shovel, Hoe, Loader)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>Factors</t>
        </is>
      </c>
      <c r="I9" s="59" t="n"/>
      <c r="J9" s="59" t="n"/>
      <c r="K9" s="57" t="n"/>
      <c r="L9" s="58" t="inlineStr">
        <is>
          <t>Unit</t>
        </is>
      </c>
      <c r="M9" s="58" t="inlineStr">
        <is>
          <t>Q Heaped Bucket Capcity</t>
        </is>
      </c>
      <c r="N9" s="58" t="inlineStr">
        <is>
          <t>T Cycle Time (seconds)</t>
        </is>
      </c>
      <c r="O9" s="58" t="inlineStr">
        <is>
          <t>Productivity (m3/hr)</t>
        </is>
      </c>
      <c r="P9" s="58" t="inlineStr">
        <is>
          <t>Ideal Productivity (m3/hr)</t>
        </is>
      </c>
      <c r="Q9" s="58" t="inlineStr">
        <is>
          <t>Overall Method Productivity (m3/hr)</t>
        </is>
      </c>
      <c r="R9" s="58" t="inlineStr">
        <is>
          <t>Ideal Cycle Variability (%)</t>
        </is>
      </c>
      <c r="S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33" customHeight="1">
      <c r="B11" s="7" t="n">
        <v>201</v>
      </c>
      <c r="C11" s="7" t="inlineStr">
        <is>
          <t>1/14 foreman:1 opetator ,1 helper</t>
        </is>
      </c>
      <c r="D11" s="7" t="inlineStr">
        <is>
          <t>Hoe</t>
        </is>
      </c>
      <c r="E11" s="7" t="inlineStr">
        <is>
          <t xml:space="preserve">soft rock excavation using hydraulic excavator </t>
        </is>
      </c>
      <c r="F11" s="7" t="n"/>
      <c r="G11" s="7" t="inlineStr">
        <is>
          <t>soft rock</t>
        </is>
      </c>
      <c r="H11" s="7" t="n">
        <v>0.75</v>
      </c>
      <c r="I11" s="7" t="n"/>
      <c r="J11" s="7" t="n">
        <v>0.61</v>
      </c>
      <c r="K11" s="7" t="n"/>
      <c r="L11" s="7" t="n"/>
      <c r="M11" s="7" t="n">
        <v>1.3</v>
      </c>
      <c r="N11" s="7" t="n">
        <v>26</v>
      </c>
      <c r="O11" s="7">
        <f>3600*M11*H11*I11*K11/(J11*N11*60)</f>
        <v/>
      </c>
      <c r="P11" s="39">
        <f>'MPDM 1'!H118*H11*I11*J11*M11</f>
        <v/>
      </c>
      <c r="Q11" s="39">
        <f>'MPDM 1'!K118*H11*I11*J11*M11</f>
        <v/>
      </c>
      <c r="R11" s="40">
        <f>'MPDM 1'!H119</f>
        <v/>
      </c>
      <c r="S11" s="40">
        <f>'MPDM 1'!K119</f>
        <v/>
      </c>
    </row>
    <row r="12" ht="33" customHeight="1">
      <c r="B12" s="8" t="n">
        <v>202</v>
      </c>
      <c r="C12" s="8" t="inlineStr">
        <is>
          <t>1/14 foreman:1 opetator ,1 helper</t>
        </is>
      </c>
      <c r="D12" s="8" t="inlineStr">
        <is>
          <t>Hoe</t>
        </is>
      </c>
      <c r="E12" s="8" t="inlineStr">
        <is>
          <t xml:space="preserve">soft rock excavation using hydraulic excavator </t>
        </is>
      </c>
      <c r="F12" s="8" t="n"/>
      <c r="G12" s="8" t="inlineStr">
        <is>
          <t>soft rock</t>
        </is>
      </c>
      <c r="H12" s="8" t="n">
        <v>0.75</v>
      </c>
      <c r="I12" s="8" t="n"/>
      <c r="J12" s="8" t="n">
        <v>0.61</v>
      </c>
      <c r="K12" s="8" t="n"/>
      <c r="L12" s="8" t="n"/>
      <c r="M12" s="8" t="n">
        <v>1.3</v>
      </c>
      <c r="N12" s="8" t="n">
        <v>24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203</v>
      </c>
      <c r="C13" s="8" t="inlineStr">
        <is>
          <t>1/14 foreman:1 opetator ,1 helper</t>
        </is>
      </c>
      <c r="D13" s="8" t="inlineStr">
        <is>
          <t>Hoe</t>
        </is>
      </c>
      <c r="E13" s="8" t="inlineStr">
        <is>
          <t xml:space="preserve">soft rock excavation using hydraulic excavator </t>
        </is>
      </c>
      <c r="F13" s="8" t="n"/>
      <c r="G13" s="8" t="inlineStr">
        <is>
          <t>soft rock</t>
        </is>
      </c>
      <c r="H13" s="8" t="n">
        <v>0.75</v>
      </c>
      <c r="I13" s="8" t="n"/>
      <c r="J13" s="8" t="n">
        <v>0.61</v>
      </c>
      <c r="K13" s="8" t="n"/>
      <c r="L13" s="8" t="n"/>
      <c r="M13" s="8" t="n">
        <v>1.3</v>
      </c>
      <c r="N13" s="8" t="n">
        <v>25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204</v>
      </c>
      <c r="C14" s="8" t="inlineStr">
        <is>
          <t>1/14 foreman:1 opetator ,1 helper</t>
        </is>
      </c>
      <c r="D14" s="8" t="inlineStr">
        <is>
          <t>Hoe</t>
        </is>
      </c>
      <c r="E14" s="8" t="inlineStr">
        <is>
          <t xml:space="preserve">soft rock excavation using hydraulic excavator </t>
        </is>
      </c>
      <c r="F14" s="8" t="n"/>
      <c r="G14" s="8" t="inlineStr">
        <is>
          <t>soft rock</t>
        </is>
      </c>
      <c r="H14" s="8" t="n">
        <v>0.75</v>
      </c>
      <c r="I14" s="8" t="n"/>
      <c r="J14" s="8" t="n">
        <v>0.61</v>
      </c>
      <c r="K14" s="8" t="n"/>
      <c r="L14" s="8" t="n"/>
      <c r="M14" s="8" t="n">
        <v>1.3</v>
      </c>
      <c r="N14" s="8" t="n">
        <v>26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205</v>
      </c>
      <c r="C15" s="9" t="inlineStr">
        <is>
          <t>1/14 foreman:1 opetator ,1 helper</t>
        </is>
      </c>
      <c r="D15" s="9" t="inlineStr">
        <is>
          <t>Hoe</t>
        </is>
      </c>
      <c r="E15" s="9" t="inlineStr">
        <is>
          <t xml:space="preserve">soft rock excavation using hydraulic excavator </t>
        </is>
      </c>
      <c r="F15" s="9" t="n"/>
      <c r="G15" s="9" t="inlineStr">
        <is>
          <t>soft rock</t>
        </is>
      </c>
      <c r="H15" s="9" t="n">
        <v>0.75</v>
      </c>
      <c r="I15" s="9" t="n"/>
      <c r="J15" s="9" t="n">
        <v>0.61</v>
      </c>
      <c r="K15" s="9" t="n"/>
      <c r="L15" s="9" t="n"/>
      <c r="M15" s="9" t="n">
        <v>1.3</v>
      </c>
      <c r="N15" s="9" t="n">
        <v>19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206</v>
      </c>
      <c r="C16" s="7" t="inlineStr">
        <is>
          <t>1/14 foreman:1 opetator ,1 helper</t>
        </is>
      </c>
      <c r="D16" s="7" t="inlineStr">
        <is>
          <t>Hoe</t>
        </is>
      </c>
      <c r="E16" s="7" t="inlineStr">
        <is>
          <t xml:space="preserve">soft rock excavation using hydraulic excavator </t>
        </is>
      </c>
      <c r="F16" s="7" t="n"/>
      <c r="G16" s="7" t="inlineStr">
        <is>
          <t>soft rock</t>
        </is>
      </c>
      <c r="H16" s="7" t="n">
        <v>0.75</v>
      </c>
      <c r="I16" s="7" t="n"/>
      <c r="J16" s="7" t="n">
        <v>0.61</v>
      </c>
      <c r="K16" s="7" t="n"/>
      <c r="L16" s="7" t="n"/>
      <c r="M16" s="7" t="n">
        <v>1.3</v>
      </c>
      <c r="N16" s="7" t="n">
        <v>20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207</v>
      </c>
      <c r="C17" s="8" t="inlineStr">
        <is>
          <t>1/14 foreman:1 opetator ,1 helper</t>
        </is>
      </c>
      <c r="D17" s="8" t="inlineStr">
        <is>
          <t>Hoe</t>
        </is>
      </c>
      <c r="E17" s="8" t="inlineStr">
        <is>
          <t xml:space="preserve">soft rock excavation using hydraulic excavator </t>
        </is>
      </c>
      <c r="F17" s="8" t="n"/>
      <c r="G17" s="8" t="inlineStr">
        <is>
          <t>soft rock</t>
        </is>
      </c>
      <c r="H17" s="8" t="n">
        <v>0.75</v>
      </c>
      <c r="I17" s="8" t="n"/>
      <c r="J17" s="8" t="n">
        <v>0.61</v>
      </c>
      <c r="K17" s="8" t="n"/>
      <c r="L17" s="8" t="n"/>
      <c r="M17" s="8" t="n">
        <v>1.3</v>
      </c>
      <c r="N17" s="8" t="n">
        <v>22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208</v>
      </c>
      <c r="C18" s="8" t="inlineStr">
        <is>
          <t>1/14 foreman:1 opetator ,1 helper</t>
        </is>
      </c>
      <c r="D18" s="8" t="inlineStr">
        <is>
          <t>Hoe</t>
        </is>
      </c>
      <c r="E18" s="8" t="inlineStr">
        <is>
          <t xml:space="preserve">soft rock excavation using hydraulic excavator </t>
        </is>
      </c>
      <c r="F18" s="8" t="n"/>
      <c r="G18" s="8" t="inlineStr">
        <is>
          <t>soft rock</t>
        </is>
      </c>
      <c r="H18" s="8" t="n">
        <v>0.75</v>
      </c>
      <c r="I18" s="8" t="n"/>
      <c r="J18" s="8" t="n">
        <v>0.61</v>
      </c>
      <c r="K18" s="8" t="n"/>
      <c r="L18" s="8" t="n"/>
      <c r="M18" s="8" t="n">
        <v>1.3</v>
      </c>
      <c r="N18" s="8" t="n">
        <v>17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209</v>
      </c>
      <c r="C19" s="8" t="inlineStr">
        <is>
          <t>1/14 foreman:1 opetator ,1 helper</t>
        </is>
      </c>
      <c r="D19" s="8" t="inlineStr">
        <is>
          <t>Hoe</t>
        </is>
      </c>
      <c r="E19" s="8" t="inlineStr">
        <is>
          <t xml:space="preserve">soft rock excavation using hydraulic excavator </t>
        </is>
      </c>
      <c r="F19" s="8" t="n"/>
      <c r="G19" s="8" t="inlineStr">
        <is>
          <t>soft rock</t>
        </is>
      </c>
      <c r="H19" s="8" t="n">
        <v>0.75</v>
      </c>
      <c r="I19" s="8" t="n"/>
      <c r="J19" s="8" t="n">
        <v>0.61</v>
      </c>
      <c r="K19" s="8" t="n"/>
      <c r="L19" s="8" t="n"/>
      <c r="M19" s="8" t="n">
        <v>1.3</v>
      </c>
      <c r="N19" s="8" t="n">
        <v>31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210</v>
      </c>
      <c r="C20" s="9" t="inlineStr">
        <is>
          <t>1/14 foreman:1 opetator ,1 helper</t>
        </is>
      </c>
      <c r="D20" s="9" t="inlineStr">
        <is>
          <t>Hoe</t>
        </is>
      </c>
      <c r="E20" s="9" t="inlineStr">
        <is>
          <t xml:space="preserve">soft rock excavation using hydraulic excavator </t>
        </is>
      </c>
      <c r="F20" s="9" t="n"/>
      <c r="G20" s="9" t="inlineStr">
        <is>
          <t>soft rock</t>
        </is>
      </c>
      <c r="H20" s="9" t="n">
        <v>0.75</v>
      </c>
      <c r="I20" s="9" t="n"/>
      <c r="J20" s="9" t="n">
        <v>0.61</v>
      </c>
      <c r="K20" s="9" t="n"/>
      <c r="L20" s="9" t="n"/>
      <c r="M20" s="9" t="n">
        <v>1.3</v>
      </c>
      <c r="N20" s="9" t="n">
        <v>27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211</v>
      </c>
      <c r="C21" s="7" t="inlineStr">
        <is>
          <t>1/14 foreman:1 opetator ,1 helper</t>
        </is>
      </c>
      <c r="D21" s="7" t="inlineStr">
        <is>
          <t>Hoe</t>
        </is>
      </c>
      <c r="E21" s="7" t="inlineStr">
        <is>
          <t xml:space="preserve">soft rock excavation using hydraulic excavator </t>
        </is>
      </c>
      <c r="F21" s="7" t="n"/>
      <c r="G21" s="7" t="inlineStr">
        <is>
          <t>soft rock</t>
        </is>
      </c>
      <c r="H21" s="7" t="n">
        <v>0.75</v>
      </c>
      <c r="I21" s="7" t="n"/>
      <c r="J21" s="7" t="n">
        <v>0.61</v>
      </c>
      <c r="K21" s="7" t="n"/>
      <c r="L21" s="7" t="n"/>
      <c r="M21" s="7" t="n">
        <v>1.3</v>
      </c>
      <c r="N21" s="7" t="n">
        <v>25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212</v>
      </c>
      <c r="C22" s="8" t="inlineStr">
        <is>
          <t>1/14 foreman:1 opetator ,1 helper</t>
        </is>
      </c>
      <c r="D22" s="8" t="inlineStr">
        <is>
          <t>Hoe</t>
        </is>
      </c>
      <c r="E22" s="8" t="inlineStr">
        <is>
          <t xml:space="preserve">soft rock excavation using hydraulic excavator </t>
        </is>
      </c>
      <c r="F22" s="8" t="n"/>
      <c r="G22" s="8" t="inlineStr">
        <is>
          <t>soft rock</t>
        </is>
      </c>
      <c r="H22" s="8" t="n">
        <v>0.75</v>
      </c>
      <c r="I22" s="8" t="n"/>
      <c r="J22" s="8" t="n">
        <v>0.61</v>
      </c>
      <c r="K22" s="8" t="n"/>
      <c r="L22" s="8" t="n"/>
      <c r="M22" s="8" t="n">
        <v>1.3</v>
      </c>
      <c r="N22" s="8" t="n">
        <v>26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213</v>
      </c>
      <c r="C23" s="8" t="inlineStr">
        <is>
          <t>1/14 foreman:1 opetator ,1 helper</t>
        </is>
      </c>
      <c r="D23" s="8" t="inlineStr">
        <is>
          <t>Hoe</t>
        </is>
      </c>
      <c r="E23" s="8" t="inlineStr">
        <is>
          <t xml:space="preserve">soft rock excavation using hydraulic excavator </t>
        </is>
      </c>
      <c r="F23" s="8" t="n"/>
      <c r="G23" s="8" t="inlineStr">
        <is>
          <t>soft rock</t>
        </is>
      </c>
      <c r="H23" s="8" t="n">
        <v>0.75</v>
      </c>
      <c r="I23" s="8" t="n"/>
      <c r="J23" s="8" t="n">
        <v>0.61</v>
      </c>
      <c r="K23" s="8" t="n"/>
      <c r="L23" s="8" t="n"/>
      <c r="M23" s="8" t="n">
        <v>1.3</v>
      </c>
      <c r="N23" s="8" t="n">
        <v>312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214</v>
      </c>
      <c r="C24" s="8" t="inlineStr">
        <is>
          <t>1/14 foreman:1 opetator ,1 helper</t>
        </is>
      </c>
      <c r="D24" s="8" t="inlineStr">
        <is>
          <t>Hoe</t>
        </is>
      </c>
      <c r="E24" s="8" t="inlineStr">
        <is>
          <t xml:space="preserve">soft rock excavation using hydraulic excavator </t>
        </is>
      </c>
      <c r="F24" s="8" t="n"/>
      <c r="G24" s="8" t="inlineStr">
        <is>
          <t>soft rock</t>
        </is>
      </c>
      <c r="H24" s="8" t="n">
        <v>0.75</v>
      </c>
      <c r="I24" s="8" t="n"/>
      <c r="J24" s="8" t="n">
        <v>0.61</v>
      </c>
      <c r="K24" s="8" t="n"/>
      <c r="L24" s="8" t="n"/>
      <c r="M24" s="8" t="n">
        <v>1.3</v>
      </c>
      <c r="N24" s="8" t="n">
        <v>26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215</v>
      </c>
      <c r="C25" s="9" t="inlineStr">
        <is>
          <t>1/14 foreman:1 opetator ,1 helper</t>
        </is>
      </c>
      <c r="D25" s="9" t="inlineStr">
        <is>
          <t>Hoe</t>
        </is>
      </c>
      <c r="E25" s="9" t="inlineStr">
        <is>
          <t xml:space="preserve">soft rock excavation using hydraulic excavator </t>
        </is>
      </c>
      <c r="F25" s="9" t="n"/>
      <c r="G25" s="9" t="inlineStr">
        <is>
          <t>soft rock</t>
        </is>
      </c>
      <c r="H25" s="9" t="n">
        <v>0.75</v>
      </c>
      <c r="I25" s="9" t="n"/>
      <c r="J25" s="9" t="n">
        <v>0.61</v>
      </c>
      <c r="K25" s="9" t="n"/>
      <c r="L25" s="9" t="n"/>
      <c r="M25" s="9" t="n">
        <v>1.3</v>
      </c>
      <c r="N25" s="9" t="n">
        <v>26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216</v>
      </c>
      <c r="C26" s="7" t="inlineStr">
        <is>
          <t>1/14 foreman:1 opetator ,1 helper</t>
        </is>
      </c>
      <c r="D26" s="7" t="inlineStr">
        <is>
          <t>Hoe</t>
        </is>
      </c>
      <c r="E26" s="7" t="inlineStr">
        <is>
          <t xml:space="preserve">soft rock excavation using hydraulic excavator </t>
        </is>
      </c>
      <c r="F26" s="7" t="n"/>
      <c r="G26" s="7" t="inlineStr">
        <is>
          <t>soft rock</t>
        </is>
      </c>
      <c r="H26" s="7" t="n">
        <v>0.75</v>
      </c>
      <c r="I26" s="7" t="n"/>
      <c r="J26" s="7" t="n">
        <v>0.61</v>
      </c>
      <c r="K26" s="7" t="n"/>
      <c r="L26" s="7" t="n"/>
      <c r="M26" s="7" t="n">
        <v>1.3</v>
      </c>
      <c r="N26" s="7" t="n">
        <v>26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217</v>
      </c>
      <c r="C27" s="8" t="inlineStr">
        <is>
          <t>1/14 foreman:1 opetator ,1 helper</t>
        </is>
      </c>
      <c r="D27" s="8" t="inlineStr">
        <is>
          <t>Hoe</t>
        </is>
      </c>
      <c r="E27" s="8" t="inlineStr">
        <is>
          <t xml:space="preserve">soft rock excavation using hydraulic excavator </t>
        </is>
      </c>
      <c r="F27" s="8" t="n"/>
      <c r="G27" s="8" t="inlineStr">
        <is>
          <t>soft rock</t>
        </is>
      </c>
      <c r="H27" s="8" t="n">
        <v>0.75</v>
      </c>
      <c r="I27" s="8" t="n"/>
      <c r="J27" s="8" t="n">
        <v>0.61</v>
      </c>
      <c r="K27" s="8" t="n"/>
      <c r="L27" s="8" t="n"/>
      <c r="M27" s="8" t="n">
        <v>1.3</v>
      </c>
      <c r="N27" s="8" t="n">
        <v>25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218</v>
      </c>
      <c r="C28" s="8" t="inlineStr">
        <is>
          <t>1/14 foreman:1 opetator ,1 helper</t>
        </is>
      </c>
      <c r="D28" s="8" t="inlineStr">
        <is>
          <t>Hoe</t>
        </is>
      </c>
      <c r="E28" s="8" t="inlineStr">
        <is>
          <t xml:space="preserve">soft rock excavation using hydraulic excavator </t>
        </is>
      </c>
      <c r="F28" s="8" t="n"/>
      <c r="G28" s="8" t="inlineStr">
        <is>
          <t>soft rock</t>
        </is>
      </c>
      <c r="H28" s="8" t="n">
        <v>0.75</v>
      </c>
      <c r="I28" s="8" t="n"/>
      <c r="J28" s="8" t="n">
        <v>0.61</v>
      </c>
      <c r="K28" s="8" t="n"/>
      <c r="L28" s="8" t="n"/>
      <c r="M28" s="8" t="n">
        <v>1.3</v>
      </c>
      <c r="N28" s="8" t="n">
        <v>24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219</v>
      </c>
      <c r="C29" s="8" t="inlineStr">
        <is>
          <t>1/14 foreman:1 opetator ,1 helper</t>
        </is>
      </c>
      <c r="D29" s="8" t="inlineStr">
        <is>
          <t>Hoe</t>
        </is>
      </c>
      <c r="E29" s="8" t="inlineStr">
        <is>
          <t xml:space="preserve">soft rock excavation using hydraulic excavator </t>
        </is>
      </c>
      <c r="F29" s="8" t="n"/>
      <c r="G29" s="8" t="inlineStr">
        <is>
          <t>soft rock</t>
        </is>
      </c>
      <c r="H29" s="8" t="n">
        <v>0.75</v>
      </c>
      <c r="I29" s="8" t="n"/>
      <c r="J29" s="8" t="n">
        <v>0.61</v>
      </c>
      <c r="K29" s="8" t="n"/>
      <c r="L29" s="8" t="n"/>
      <c r="M29" s="8" t="n">
        <v>1.3</v>
      </c>
      <c r="N29" s="8" t="n">
        <v>26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220</v>
      </c>
      <c r="C30" s="9" t="inlineStr">
        <is>
          <t>1/14 foreman:1 opetator ,1 helper</t>
        </is>
      </c>
      <c r="D30" s="9" t="inlineStr">
        <is>
          <t>Hoe</t>
        </is>
      </c>
      <c r="E30" s="9" t="inlineStr">
        <is>
          <t xml:space="preserve">soft rock excavation using hydraulic excavator </t>
        </is>
      </c>
      <c r="F30" s="9" t="n"/>
      <c r="G30" s="9" t="inlineStr">
        <is>
          <t>soft rock</t>
        </is>
      </c>
      <c r="H30" s="9" t="n">
        <v>0.75</v>
      </c>
      <c r="I30" s="9" t="n"/>
      <c r="J30" s="9" t="n">
        <v>0.61</v>
      </c>
      <c r="K30" s="9" t="n"/>
      <c r="L30" s="9" t="n"/>
      <c r="M30" s="9" t="n">
        <v>1.3</v>
      </c>
      <c r="N30" s="9" t="n">
        <v>29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221</v>
      </c>
      <c r="C31" s="7" t="inlineStr">
        <is>
          <t>1/14 foreman:1 opetator ,1 helper</t>
        </is>
      </c>
      <c r="D31" s="7" t="inlineStr">
        <is>
          <t>Hoe</t>
        </is>
      </c>
      <c r="E31" s="7" t="inlineStr">
        <is>
          <t xml:space="preserve">soft rock excavation using hydraulic excavator </t>
        </is>
      </c>
      <c r="F31" s="7" t="n"/>
      <c r="G31" s="7" t="inlineStr">
        <is>
          <t>soft rock</t>
        </is>
      </c>
      <c r="H31" s="7" t="n">
        <v>0.75</v>
      </c>
      <c r="I31" s="7" t="n"/>
      <c r="J31" s="7" t="n">
        <v>0.61</v>
      </c>
      <c r="K31" s="7" t="n"/>
      <c r="L31" s="7" t="n"/>
      <c r="M31" s="7" t="n">
        <v>1.3</v>
      </c>
      <c r="N31" s="7" t="n">
        <v>27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222</v>
      </c>
      <c r="C32" s="8" t="inlineStr">
        <is>
          <t>1/14 foreman:1 opetator ,1 helper</t>
        </is>
      </c>
      <c r="D32" s="8" t="inlineStr">
        <is>
          <t>Hoe</t>
        </is>
      </c>
      <c r="E32" s="8" t="inlineStr">
        <is>
          <t xml:space="preserve">soft rock excavation using hydraulic excavator </t>
        </is>
      </c>
      <c r="F32" s="8" t="n"/>
      <c r="G32" s="8" t="inlineStr">
        <is>
          <t>soft rock</t>
        </is>
      </c>
      <c r="H32" s="8" t="n">
        <v>0.75</v>
      </c>
      <c r="I32" s="8" t="n"/>
      <c r="J32" s="8" t="n">
        <v>0.61</v>
      </c>
      <c r="K32" s="8" t="n"/>
      <c r="L32" s="8" t="n"/>
      <c r="M32" s="8" t="n">
        <v>1.3</v>
      </c>
      <c r="N32" s="8" t="n">
        <v>25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223</v>
      </c>
      <c r="C33" s="8" t="inlineStr">
        <is>
          <t>1/14 foreman:1 opetator ,1 helper</t>
        </is>
      </c>
      <c r="D33" s="8" t="inlineStr">
        <is>
          <t>Hoe</t>
        </is>
      </c>
      <c r="E33" s="8" t="inlineStr">
        <is>
          <t xml:space="preserve">soft rock excavation using hydraulic excavator </t>
        </is>
      </c>
      <c r="F33" s="8" t="n"/>
      <c r="G33" s="8" t="inlineStr">
        <is>
          <t>soft rock</t>
        </is>
      </c>
      <c r="H33" s="8" t="n">
        <v>0.75</v>
      </c>
      <c r="I33" s="8" t="n"/>
      <c r="J33" s="8" t="n">
        <v>0.61</v>
      </c>
      <c r="K33" s="8" t="n"/>
      <c r="L33" s="8" t="n"/>
      <c r="M33" s="8" t="n">
        <v>1.3</v>
      </c>
      <c r="N33" s="8" t="n">
        <v>26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224</v>
      </c>
      <c r="C34" s="8" t="inlineStr">
        <is>
          <t>1/14 foreman:1 opetator ,1 helper</t>
        </is>
      </c>
      <c r="D34" s="8" t="inlineStr">
        <is>
          <t>Hoe</t>
        </is>
      </c>
      <c r="E34" s="8" t="inlineStr">
        <is>
          <t xml:space="preserve">soft rock excavation using hydraulic excavator </t>
        </is>
      </c>
      <c r="F34" s="8" t="n"/>
      <c r="G34" s="8" t="inlineStr">
        <is>
          <t>soft rock</t>
        </is>
      </c>
      <c r="H34" s="8" t="n">
        <v>0.75</v>
      </c>
      <c r="I34" s="8" t="n"/>
      <c r="J34" s="8" t="n">
        <v>0.61</v>
      </c>
      <c r="K34" s="8" t="n"/>
      <c r="L34" s="8" t="n"/>
      <c r="M34" s="8" t="n">
        <v>1.3</v>
      </c>
      <c r="N34" s="8" t="n">
        <v>99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225</v>
      </c>
      <c r="C35" s="9" t="inlineStr">
        <is>
          <t>1/14 foreman:1 opetator ,1 helper</t>
        </is>
      </c>
      <c r="D35" s="9" t="inlineStr">
        <is>
          <t>Hoe</t>
        </is>
      </c>
      <c r="E35" s="9" t="inlineStr">
        <is>
          <t xml:space="preserve">soft rock excavation using hydraulic excavator </t>
        </is>
      </c>
      <c r="F35" s="9" t="n"/>
      <c r="G35" s="9" t="inlineStr">
        <is>
          <t>soft rock</t>
        </is>
      </c>
      <c r="H35" s="9" t="n">
        <v>0.75</v>
      </c>
      <c r="I35" s="9" t="n"/>
      <c r="J35" s="9" t="n">
        <v>0.61</v>
      </c>
      <c r="K35" s="9" t="n"/>
      <c r="L35" s="9" t="n"/>
      <c r="M35" s="9" t="n">
        <v>1.3</v>
      </c>
      <c r="N35" s="9" t="n">
        <v>30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226</v>
      </c>
      <c r="C36" s="7" t="inlineStr">
        <is>
          <t>1/14 foreman:1 opetator ,1 helper</t>
        </is>
      </c>
      <c r="D36" s="7" t="inlineStr">
        <is>
          <t>Hoe</t>
        </is>
      </c>
      <c r="E36" s="7" t="inlineStr">
        <is>
          <t xml:space="preserve">soft rock excavation using hydraulic excavator </t>
        </is>
      </c>
      <c r="F36" s="7" t="n"/>
      <c r="G36" s="7" t="inlineStr">
        <is>
          <t>soft rock</t>
        </is>
      </c>
      <c r="H36" s="7" t="n">
        <v>0.75</v>
      </c>
      <c r="I36" s="7" t="n"/>
      <c r="J36" s="7" t="n">
        <v>0.61</v>
      </c>
      <c r="K36" s="7" t="n"/>
      <c r="L36" s="7" t="n"/>
      <c r="M36" s="7" t="n">
        <v>1.3</v>
      </c>
      <c r="N36" s="7" t="n">
        <v>21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227</v>
      </c>
      <c r="C37" s="8" t="inlineStr">
        <is>
          <t>1/14 foreman:1 opetator ,1 helper</t>
        </is>
      </c>
      <c r="D37" s="8" t="inlineStr">
        <is>
          <t>Hoe</t>
        </is>
      </c>
      <c r="E37" s="8" t="inlineStr">
        <is>
          <t xml:space="preserve">soft rock excavation using hydraulic excavator </t>
        </is>
      </c>
      <c r="F37" s="8" t="n"/>
      <c r="G37" s="8" t="inlineStr">
        <is>
          <t>soft rock</t>
        </is>
      </c>
      <c r="H37" s="8" t="n">
        <v>0.75</v>
      </c>
      <c r="I37" s="8" t="n"/>
      <c r="J37" s="8" t="n">
        <v>0.61</v>
      </c>
      <c r="K37" s="8" t="n"/>
      <c r="L37" s="8" t="n"/>
      <c r="M37" s="8" t="n">
        <v>1.3</v>
      </c>
      <c r="N37" s="8" t="n">
        <v>20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228</v>
      </c>
      <c r="C38" s="8" t="inlineStr">
        <is>
          <t>1/14 foreman:1 opetator ,1 helper</t>
        </is>
      </c>
      <c r="D38" s="8" t="inlineStr">
        <is>
          <t>Hoe</t>
        </is>
      </c>
      <c r="E38" s="8" t="inlineStr">
        <is>
          <t xml:space="preserve">soft rock excavation using hydraulic excavator </t>
        </is>
      </c>
      <c r="F38" s="8" t="n"/>
      <c r="G38" s="8" t="inlineStr">
        <is>
          <t>soft rock</t>
        </is>
      </c>
      <c r="H38" s="8" t="n">
        <v>0.75</v>
      </c>
      <c r="I38" s="8" t="n"/>
      <c r="J38" s="8" t="n">
        <v>0.61</v>
      </c>
      <c r="K38" s="8" t="n"/>
      <c r="L38" s="8" t="n"/>
      <c r="M38" s="8" t="n">
        <v>1.3</v>
      </c>
      <c r="N38" s="8" t="n">
        <v>19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229</v>
      </c>
      <c r="C39" s="8" t="inlineStr">
        <is>
          <t>1/14 foreman:1 opetator ,1 helper</t>
        </is>
      </c>
      <c r="D39" s="8" t="inlineStr">
        <is>
          <t>Hoe</t>
        </is>
      </c>
      <c r="E39" s="8" t="inlineStr">
        <is>
          <t xml:space="preserve">soft rock excavation using hydraulic excavator </t>
        </is>
      </c>
      <c r="F39" s="8" t="n"/>
      <c r="G39" s="8" t="inlineStr">
        <is>
          <t>soft rock</t>
        </is>
      </c>
      <c r="H39" s="8" t="n">
        <v>0.75</v>
      </c>
      <c r="I39" s="8" t="n"/>
      <c r="J39" s="8" t="n">
        <v>0.61</v>
      </c>
      <c r="K39" s="8" t="n"/>
      <c r="L39" s="8" t="n"/>
      <c r="M39" s="8" t="n">
        <v>1.3</v>
      </c>
      <c r="N39" s="8" t="n">
        <v>18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230</v>
      </c>
      <c r="C40" s="9" t="inlineStr">
        <is>
          <t>1/14 foreman:1 opetator ,1 helper</t>
        </is>
      </c>
      <c r="D40" s="9" t="inlineStr">
        <is>
          <t>Hoe</t>
        </is>
      </c>
      <c r="E40" s="9" t="inlineStr">
        <is>
          <t xml:space="preserve">soft rock excavation using hydraulic excavator </t>
        </is>
      </c>
      <c r="F40" s="9" t="n"/>
      <c r="G40" s="9" t="inlineStr">
        <is>
          <t>soft rock</t>
        </is>
      </c>
      <c r="H40" s="9" t="n">
        <v>0.75</v>
      </c>
      <c r="I40" s="9" t="n"/>
      <c r="J40" s="9" t="n">
        <v>0.61</v>
      </c>
      <c r="K40" s="9" t="n"/>
      <c r="L40" s="9" t="n"/>
      <c r="M40" s="9" t="n">
        <v>1.3</v>
      </c>
      <c r="N40" s="9" t="n">
        <v>32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231</v>
      </c>
      <c r="C41" s="7" t="inlineStr">
        <is>
          <t>1/14 foreman:1 opetator ,1 helper</t>
        </is>
      </c>
      <c r="D41" s="7" t="inlineStr">
        <is>
          <t>Hoe</t>
        </is>
      </c>
      <c r="E41" s="7" t="inlineStr">
        <is>
          <t xml:space="preserve">soft rock excavation using hydraulic excavator </t>
        </is>
      </c>
      <c r="F41" s="7" t="n"/>
      <c r="G41" s="7" t="inlineStr">
        <is>
          <t>soft rock</t>
        </is>
      </c>
      <c r="H41" s="7" t="n">
        <v>0.75</v>
      </c>
      <c r="I41" s="7" t="n"/>
      <c r="J41" s="7" t="n">
        <v>0.61</v>
      </c>
      <c r="K41" s="7" t="n"/>
      <c r="L41" s="7" t="n"/>
      <c r="M41" s="7" t="n">
        <v>1.3</v>
      </c>
      <c r="N41" s="7" t="n">
        <v>37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232</v>
      </c>
      <c r="C42" s="8" t="inlineStr">
        <is>
          <t>1/14 foreman:1 opetator ,1 helper</t>
        </is>
      </c>
      <c r="D42" s="8" t="inlineStr">
        <is>
          <t>Hoe</t>
        </is>
      </c>
      <c r="E42" s="8" t="inlineStr">
        <is>
          <t xml:space="preserve">soft rock excavation using hydraulic excavator </t>
        </is>
      </c>
      <c r="F42" s="8" t="n"/>
      <c r="G42" s="8" t="inlineStr">
        <is>
          <t>soft rock</t>
        </is>
      </c>
      <c r="H42" s="8" t="n">
        <v>0.75</v>
      </c>
      <c r="I42" s="8" t="n"/>
      <c r="J42" s="8" t="n">
        <v>0.61</v>
      </c>
      <c r="K42" s="8" t="n"/>
      <c r="L42" s="8" t="n"/>
      <c r="M42" s="8" t="n">
        <v>1.3</v>
      </c>
      <c r="N42" s="8" t="n">
        <v>28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233</v>
      </c>
      <c r="C43" s="8" t="inlineStr">
        <is>
          <t>1/14 foreman:1 opetator ,1 helper</t>
        </is>
      </c>
      <c r="D43" s="8" t="inlineStr">
        <is>
          <t>Hoe</t>
        </is>
      </c>
      <c r="E43" s="8" t="inlineStr">
        <is>
          <t xml:space="preserve">soft rock excavation using hydraulic excavator </t>
        </is>
      </c>
      <c r="F43" s="8" t="n"/>
      <c r="G43" s="8" t="inlineStr">
        <is>
          <t>soft rock</t>
        </is>
      </c>
      <c r="H43" s="8" t="n">
        <v>0.75</v>
      </c>
      <c r="I43" s="8" t="n"/>
      <c r="J43" s="8" t="n">
        <v>0.61</v>
      </c>
      <c r="K43" s="8" t="n"/>
      <c r="L43" s="8" t="n"/>
      <c r="M43" s="8" t="n">
        <v>1.3</v>
      </c>
      <c r="N43" s="8" t="n">
        <v>29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234</v>
      </c>
      <c r="C44" s="8" t="inlineStr">
        <is>
          <t>1/14 foreman:1 opetator ,1 helper</t>
        </is>
      </c>
      <c r="D44" s="8" t="inlineStr">
        <is>
          <t>Hoe</t>
        </is>
      </c>
      <c r="E44" s="8" t="inlineStr">
        <is>
          <t xml:space="preserve">soft rock excavation using hydraulic excavator </t>
        </is>
      </c>
      <c r="F44" s="8" t="n"/>
      <c r="G44" s="8" t="inlineStr">
        <is>
          <t>soft rock</t>
        </is>
      </c>
      <c r="H44" s="8" t="n">
        <v>0.75</v>
      </c>
      <c r="I44" s="8" t="n"/>
      <c r="J44" s="8" t="n">
        <v>0.61</v>
      </c>
      <c r="K44" s="8" t="n"/>
      <c r="L44" s="8" t="n"/>
      <c r="M44" s="8" t="n">
        <v>1.3</v>
      </c>
      <c r="N44" s="8" t="n">
        <v>30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235</v>
      </c>
      <c r="C45" s="9" t="inlineStr">
        <is>
          <t>1/14 foreman:1 opetator ,1 helper</t>
        </is>
      </c>
      <c r="D45" s="9" t="inlineStr">
        <is>
          <t>Hoe</t>
        </is>
      </c>
      <c r="E45" s="9" t="inlineStr">
        <is>
          <t xml:space="preserve">soft rock excavation using hydraulic excavator </t>
        </is>
      </c>
      <c r="F45" s="9" t="n"/>
      <c r="G45" s="9" t="inlineStr">
        <is>
          <t>soft rock</t>
        </is>
      </c>
      <c r="H45" s="9" t="n">
        <v>0.75</v>
      </c>
      <c r="I45" s="9" t="n"/>
      <c r="J45" s="9" t="n">
        <v>0.61</v>
      </c>
      <c r="K45" s="9" t="n"/>
      <c r="L45" s="9" t="n"/>
      <c r="M45" s="9" t="n">
        <v>1.3</v>
      </c>
      <c r="N45" s="9" t="n">
        <v>27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236</v>
      </c>
      <c r="C46" s="7" t="inlineStr">
        <is>
          <t>1/14 foreman:1 opetator ,1 helper</t>
        </is>
      </c>
      <c r="D46" s="7" t="inlineStr">
        <is>
          <t>Hoe</t>
        </is>
      </c>
      <c r="E46" s="7" t="inlineStr">
        <is>
          <t xml:space="preserve">soft rock excavation using hydraulic excavator </t>
        </is>
      </c>
      <c r="F46" s="7" t="n"/>
      <c r="G46" s="7" t="inlineStr">
        <is>
          <t>soft rock</t>
        </is>
      </c>
      <c r="H46" s="7" t="n">
        <v>0.75</v>
      </c>
      <c r="I46" s="7" t="n"/>
      <c r="J46" s="7" t="n">
        <v>0.61</v>
      </c>
      <c r="K46" s="7" t="n"/>
      <c r="L46" s="7" t="n"/>
      <c r="M46" s="7" t="n">
        <v>1.3</v>
      </c>
      <c r="N46" s="7" t="n">
        <v>25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237</v>
      </c>
      <c r="C47" s="8" t="inlineStr">
        <is>
          <t>1/14 foreman:1 opetator ,1 helper</t>
        </is>
      </c>
      <c r="D47" s="8" t="inlineStr">
        <is>
          <t>Hoe</t>
        </is>
      </c>
      <c r="E47" s="8" t="inlineStr">
        <is>
          <t xml:space="preserve">soft rock excavation using hydraulic excavator </t>
        </is>
      </c>
      <c r="F47" s="8" t="n"/>
      <c r="G47" s="8" t="inlineStr">
        <is>
          <t>soft rock</t>
        </is>
      </c>
      <c r="H47" s="8" t="n">
        <v>0.75</v>
      </c>
      <c r="I47" s="8" t="n"/>
      <c r="J47" s="8" t="n">
        <v>0.61</v>
      </c>
      <c r="K47" s="8" t="n"/>
      <c r="L47" s="8" t="n"/>
      <c r="M47" s="8" t="n">
        <v>1.3</v>
      </c>
      <c r="N47" s="8" t="n">
        <v>26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238</v>
      </c>
      <c r="C48" s="8" t="inlineStr">
        <is>
          <t>1/14 foreman:1 opetator ,1 helper</t>
        </is>
      </c>
      <c r="D48" s="8" t="inlineStr">
        <is>
          <t>Hoe</t>
        </is>
      </c>
      <c r="E48" s="8" t="inlineStr">
        <is>
          <t xml:space="preserve">soft rock excavation using hydraulic excavator </t>
        </is>
      </c>
      <c r="F48" s="8" t="n"/>
      <c r="G48" s="8" t="inlineStr">
        <is>
          <t>soft rock</t>
        </is>
      </c>
      <c r="H48" s="8" t="n">
        <v>0.75</v>
      </c>
      <c r="I48" s="8" t="n"/>
      <c r="J48" s="8" t="n">
        <v>0.61</v>
      </c>
      <c r="K48" s="8" t="n"/>
      <c r="L48" s="8" t="n"/>
      <c r="M48" s="8" t="n">
        <v>1.3</v>
      </c>
      <c r="N48" s="8" t="n">
        <v>27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239</v>
      </c>
      <c r="C49" s="8" t="inlineStr">
        <is>
          <t>1/14 foreman:1 opetator ,1 helper</t>
        </is>
      </c>
      <c r="D49" s="8" t="inlineStr">
        <is>
          <t>Hoe</t>
        </is>
      </c>
      <c r="E49" s="8" t="inlineStr">
        <is>
          <t xml:space="preserve">soft rock excavation using hydraulic excavator </t>
        </is>
      </c>
      <c r="F49" s="8" t="n"/>
      <c r="G49" s="8" t="inlineStr">
        <is>
          <t>soft rock</t>
        </is>
      </c>
      <c r="H49" s="8" t="n">
        <v>0.75</v>
      </c>
      <c r="I49" s="8" t="n"/>
      <c r="J49" s="8" t="n">
        <v>0.61</v>
      </c>
      <c r="K49" s="8" t="n"/>
      <c r="L49" s="8" t="n"/>
      <c r="M49" s="8" t="n">
        <v>1.3</v>
      </c>
      <c r="N49" s="8" t="n">
        <v>106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240</v>
      </c>
      <c r="C50" s="9" t="inlineStr">
        <is>
          <t>1/14 foreman:1 opetator ,1 helper</t>
        </is>
      </c>
      <c r="D50" s="9" t="inlineStr">
        <is>
          <t>Hoe</t>
        </is>
      </c>
      <c r="E50" s="9" t="inlineStr">
        <is>
          <t xml:space="preserve">soft rock excavation using hydraulic excavator </t>
        </is>
      </c>
      <c r="F50" s="9" t="n"/>
      <c r="G50" s="9" t="inlineStr">
        <is>
          <t>soft rock</t>
        </is>
      </c>
      <c r="H50" s="9" t="n">
        <v>0.75</v>
      </c>
      <c r="I50" s="9" t="n"/>
      <c r="J50" s="9" t="n">
        <v>0.61</v>
      </c>
      <c r="K50" s="9" t="n"/>
      <c r="L50" s="9" t="n"/>
      <c r="M50" s="9" t="n">
        <v>1.3</v>
      </c>
      <c r="N50" s="9" t="n">
        <v>25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241</v>
      </c>
      <c r="C51" s="7" t="inlineStr">
        <is>
          <t>1/14 foreman:1 opetator ,1 helper</t>
        </is>
      </c>
      <c r="D51" s="7" t="inlineStr">
        <is>
          <t>Hoe</t>
        </is>
      </c>
      <c r="E51" s="7" t="inlineStr">
        <is>
          <t xml:space="preserve">soft rock excavation using hydraulic excavator </t>
        </is>
      </c>
      <c r="F51" s="7" t="n"/>
      <c r="G51" s="7" t="inlineStr">
        <is>
          <t>soft rock</t>
        </is>
      </c>
      <c r="H51" s="7" t="n">
        <v>0.75</v>
      </c>
      <c r="I51" s="7" t="n"/>
      <c r="J51" s="7" t="n">
        <v>0.61</v>
      </c>
      <c r="K51" s="7" t="n"/>
      <c r="L51" s="7" t="n"/>
      <c r="M51" s="7" t="n">
        <v>1.3</v>
      </c>
      <c r="N51" s="7" t="n">
        <v>25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242</v>
      </c>
      <c r="C52" s="8" t="inlineStr">
        <is>
          <t>1/14 foreman:1 opetator ,1 helper</t>
        </is>
      </c>
      <c r="D52" s="8" t="inlineStr">
        <is>
          <t>Hoe</t>
        </is>
      </c>
      <c r="E52" s="8" t="inlineStr">
        <is>
          <t xml:space="preserve">soft rock excavation using hydraulic excavator </t>
        </is>
      </c>
      <c r="F52" s="8" t="n"/>
      <c r="G52" s="8" t="inlineStr">
        <is>
          <t>soft rock</t>
        </is>
      </c>
      <c r="H52" s="8" t="n">
        <v>0.75</v>
      </c>
      <c r="I52" s="8" t="n"/>
      <c r="J52" s="8" t="n">
        <v>0.61</v>
      </c>
      <c r="K52" s="8" t="n"/>
      <c r="L52" s="8" t="n"/>
      <c r="M52" s="8" t="n">
        <v>1.3</v>
      </c>
      <c r="N52" s="8" t="n">
        <v>26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243</v>
      </c>
      <c r="C53" s="8" t="inlineStr">
        <is>
          <t>1/14 foreman:1 opetator ,1 helper</t>
        </is>
      </c>
      <c r="D53" s="8" t="inlineStr">
        <is>
          <t>Hoe</t>
        </is>
      </c>
      <c r="E53" s="8" t="inlineStr">
        <is>
          <t xml:space="preserve">soft rock excavation using hydraulic excavator </t>
        </is>
      </c>
      <c r="F53" s="8" t="n"/>
      <c r="G53" s="8" t="inlineStr">
        <is>
          <t>soft rock</t>
        </is>
      </c>
      <c r="H53" s="8" t="n">
        <v>0.75</v>
      </c>
      <c r="I53" s="8" t="n"/>
      <c r="J53" s="8" t="n">
        <v>0.61</v>
      </c>
      <c r="K53" s="8" t="n"/>
      <c r="L53" s="8" t="n"/>
      <c r="M53" s="8" t="n">
        <v>1.3</v>
      </c>
      <c r="N53" s="8" t="n">
        <v>32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244</v>
      </c>
      <c r="C54" s="8" t="inlineStr">
        <is>
          <t>1/14 foreman:1 opetator ,1 helper</t>
        </is>
      </c>
      <c r="D54" s="8" t="inlineStr">
        <is>
          <t>Hoe</t>
        </is>
      </c>
      <c r="E54" s="8" t="inlineStr">
        <is>
          <t xml:space="preserve">soft rock excavation using hydraulic excavator </t>
        </is>
      </c>
      <c r="F54" s="8" t="n"/>
      <c r="G54" s="8" t="inlineStr">
        <is>
          <t>soft rock</t>
        </is>
      </c>
      <c r="H54" s="8" t="n">
        <v>0.75</v>
      </c>
      <c r="I54" s="8" t="n"/>
      <c r="J54" s="8" t="n">
        <v>0.61</v>
      </c>
      <c r="K54" s="8" t="n"/>
      <c r="L54" s="8" t="n"/>
      <c r="M54" s="8" t="n">
        <v>1.3</v>
      </c>
      <c r="N54" s="8" t="n">
        <v>29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245</v>
      </c>
      <c r="C55" s="9" t="inlineStr">
        <is>
          <t>1/14 foreman:1 opetator ,1 helper</t>
        </is>
      </c>
      <c r="D55" s="9" t="inlineStr">
        <is>
          <t>Hoe</t>
        </is>
      </c>
      <c r="E55" s="9" t="inlineStr">
        <is>
          <t xml:space="preserve">soft rock excavation using hydraulic excavator </t>
        </is>
      </c>
      <c r="F55" s="9" t="n"/>
      <c r="G55" s="9" t="inlineStr">
        <is>
          <t>soft rock</t>
        </is>
      </c>
      <c r="H55" s="9" t="n">
        <v>0.75</v>
      </c>
      <c r="I55" s="9" t="n"/>
      <c r="J55" s="9" t="n">
        <v>0.61</v>
      </c>
      <c r="K55" s="9" t="n"/>
      <c r="L55" s="9" t="n"/>
      <c r="M55" s="9" t="n">
        <v>1.3</v>
      </c>
      <c r="N55" s="9" t="n">
        <v>30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246</v>
      </c>
      <c r="C56" s="7" t="inlineStr">
        <is>
          <t>1/14 foreman:1 opetator ,1 helper</t>
        </is>
      </c>
      <c r="D56" s="7" t="inlineStr">
        <is>
          <t>Hoe</t>
        </is>
      </c>
      <c r="E56" s="7" t="inlineStr">
        <is>
          <t xml:space="preserve">soft rock excavation using hydraulic excavator </t>
        </is>
      </c>
      <c r="F56" s="7" t="n"/>
      <c r="G56" s="7" t="inlineStr">
        <is>
          <t>soft rock</t>
        </is>
      </c>
      <c r="H56" s="7" t="n">
        <v>0.75</v>
      </c>
      <c r="I56" s="7" t="n"/>
      <c r="J56" s="7" t="n">
        <v>0.61</v>
      </c>
      <c r="K56" s="7" t="n"/>
      <c r="L56" s="7" t="n"/>
      <c r="M56" s="7" t="n">
        <v>1.3</v>
      </c>
      <c r="N56" s="7" t="n">
        <v>29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247</v>
      </c>
      <c r="C57" s="8" t="inlineStr">
        <is>
          <t>1/14 foreman:1 opetator ,1 helper</t>
        </is>
      </c>
      <c r="D57" s="8" t="inlineStr">
        <is>
          <t>Hoe</t>
        </is>
      </c>
      <c r="E57" s="8" t="inlineStr">
        <is>
          <t xml:space="preserve">soft rock excavation using hydraulic excavator </t>
        </is>
      </c>
      <c r="F57" s="8" t="n"/>
      <c r="G57" s="8" t="inlineStr">
        <is>
          <t>soft rock</t>
        </is>
      </c>
      <c r="H57" s="8" t="n">
        <v>0.75</v>
      </c>
      <c r="I57" s="8" t="n"/>
      <c r="J57" s="8" t="n">
        <v>0.61</v>
      </c>
      <c r="K57" s="8" t="n"/>
      <c r="L57" s="8" t="n"/>
      <c r="M57" s="8" t="n">
        <v>1.3</v>
      </c>
      <c r="N57" s="8" t="n">
        <v>29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248</v>
      </c>
      <c r="C58" s="8" t="inlineStr">
        <is>
          <t>1/14 foreman:1 opetator ,1 helper</t>
        </is>
      </c>
      <c r="D58" s="8" t="inlineStr">
        <is>
          <t>Hoe</t>
        </is>
      </c>
      <c r="E58" s="8" t="inlineStr">
        <is>
          <t xml:space="preserve">soft rock excavation using hydraulic excavator </t>
        </is>
      </c>
      <c r="F58" s="8" t="n"/>
      <c r="G58" s="8" t="inlineStr">
        <is>
          <t>soft rock</t>
        </is>
      </c>
      <c r="H58" s="8" t="n">
        <v>0.75</v>
      </c>
      <c r="I58" s="8" t="n"/>
      <c r="J58" s="8" t="n">
        <v>0.61</v>
      </c>
      <c r="K58" s="8" t="n"/>
      <c r="L58" s="8" t="n"/>
      <c r="M58" s="8" t="n">
        <v>1.3</v>
      </c>
      <c r="N58" s="8" t="n">
        <v>31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249</v>
      </c>
      <c r="C59" s="8" t="inlineStr">
        <is>
          <t>1/14 foreman:1 opetator ,1 helper</t>
        </is>
      </c>
      <c r="D59" s="8" t="inlineStr">
        <is>
          <t>Hoe</t>
        </is>
      </c>
      <c r="E59" s="8" t="inlineStr">
        <is>
          <t xml:space="preserve">soft rock excavation using hydraulic excavator </t>
        </is>
      </c>
      <c r="F59" s="8" t="n"/>
      <c r="G59" s="8" t="inlineStr">
        <is>
          <t>soft rock</t>
        </is>
      </c>
      <c r="H59" s="8" t="n">
        <v>0.75</v>
      </c>
      <c r="I59" s="8" t="n"/>
      <c r="J59" s="8" t="n">
        <v>0.61</v>
      </c>
      <c r="K59" s="8" t="n"/>
      <c r="L59" s="8" t="n"/>
      <c r="M59" s="8" t="n">
        <v>1.3</v>
      </c>
      <c r="N59" s="8" t="n">
        <v>78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250</v>
      </c>
      <c r="C60" s="9" t="inlineStr">
        <is>
          <t>1/14 foreman:1 opetator ,1 helper</t>
        </is>
      </c>
      <c r="D60" s="9" t="inlineStr">
        <is>
          <t>Hoe</t>
        </is>
      </c>
      <c r="E60" s="9" t="inlineStr">
        <is>
          <t xml:space="preserve">soft rock excavation using hydraulic excavator </t>
        </is>
      </c>
      <c r="F60" s="9" t="n"/>
      <c r="G60" s="9" t="inlineStr">
        <is>
          <t>soft rock</t>
        </is>
      </c>
      <c r="H60" s="9" t="n">
        <v>0.75</v>
      </c>
      <c r="I60" s="9" t="n"/>
      <c r="J60" s="9" t="n">
        <v>0.61</v>
      </c>
      <c r="K60" s="9" t="n"/>
      <c r="L60" s="9" t="n"/>
      <c r="M60" s="9" t="n">
        <v>1.3</v>
      </c>
      <c r="N60" s="9" t="n">
        <v>32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251</v>
      </c>
      <c r="C61" s="7" t="inlineStr">
        <is>
          <t>1/14 foreman:1 opetator ,1 helper</t>
        </is>
      </c>
      <c r="D61" s="7" t="inlineStr">
        <is>
          <t>Hoe</t>
        </is>
      </c>
      <c r="E61" s="7" t="inlineStr">
        <is>
          <t xml:space="preserve">soft rock excavation using hydraulic excavator </t>
        </is>
      </c>
      <c r="F61" s="7" t="n"/>
      <c r="G61" s="7" t="inlineStr">
        <is>
          <t>soft rock</t>
        </is>
      </c>
      <c r="H61" s="7" t="n">
        <v>0.75</v>
      </c>
      <c r="I61" s="7" t="n"/>
      <c r="J61" s="7" t="n">
        <v>0.61</v>
      </c>
      <c r="K61" s="7" t="n"/>
      <c r="L61" s="7" t="n"/>
      <c r="M61" s="7" t="n">
        <v>1.3</v>
      </c>
      <c r="N61" s="7" t="n">
        <v>36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252</v>
      </c>
      <c r="C62" s="8" t="inlineStr">
        <is>
          <t>1/14 foreman:1 opetator ,1 helper</t>
        </is>
      </c>
      <c r="D62" s="8" t="inlineStr">
        <is>
          <t>Hoe</t>
        </is>
      </c>
      <c r="E62" s="8" t="inlineStr">
        <is>
          <t xml:space="preserve">soft rock excavation using hydraulic excavator </t>
        </is>
      </c>
      <c r="F62" s="8" t="n"/>
      <c r="G62" s="8" t="inlineStr">
        <is>
          <t>soft rock</t>
        </is>
      </c>
      <c r="H62" s="8" t="n">
        <v>0.75</v>
      </c>
      <c r="I62" s="8" t="n"/>
      <c r="J62" s="8" t="n">
        <v>0.61</v>
      </c>
      <c r="K62" s="8" t="n"/>
      <c r="L62" s="8" t="n"/>
      <c r="M62" s="8" t="n">
        <v>1.3</v>
      </c>
      <c r="N62" s="8" t="n">
        <v>42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253</v>
      </c>
      <c r="C63" s="8" t="inlineStr">
        <is>
          <t>1/14 foreman:1 opetator ,1 helper</t>
        </is>
      </c>
      <c r="D63" s="8" t="inlineStr">
        <is>
          <t>Hoe</t>
        </is>
      </c>
      <c r="E63" s="8" t="inlineStr">
        <is>
          <t xml:space="preserve">soft rock excavation using hydraulic excavator </t>
        </is>
      </c>
      <c r="F63" s="8" t="n"/>
      <c r="G63" s="8" t="inlineStr">
        <is>
          <t>soft rock</t>
        </is>
      </c>
      <c r="H63" s="8" t="n">
        <v>0.75</v>
      </c>
      <c r="I63" s="8" t="n"/>
      <c r="J63" s="8" t="n">
        <v>0.61</v>
      </c>
      <c r="K63" s="8" t="n"/>
      <c r="L63" s="8" t="n"/>
      <c r="M63" s="8" t="n">
        <v>1.3</v>
      </c>
      <c r="N63" s="8" t="n">
        <v>31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254</v>
      </c>
      <c r="C64" s="8" t="inlineStr">
        <is>
          <t>1/14 foreman:1 opetator ,1 helper</t>
        </is>
      </c>
      <c r="D64" s="8" t="inlineStr">
        <is>
          <t>Hoe</t>
        </is>
      </c>
      <c r="E64" s="8" t="inlineStr">
        <is>
          <t xml:space="preserve">soft rock excavation using hydraulic excavator </t>
        </is>
      </c>
      <c r="F64" s="8" t="n"/>
      <c r="G64" s="8" t="inlineStr">
        <is>
          <t>soft rock</t>
        </is>
      </c>
      <c r="H64" s="8" t="n">
        <v>0.75</v>
      </c>
      <c r="I64" s="8" t="n"/>
      <c r="J64" s="8" t="n">
        <v>0.61</v>
      </c>
      <c r="K64" s="8" t="n"/>
      <c r="L64" s="8" t="n"/>
      <c r="M64" s="8" t="n">
        <v>1.3</v>
      </c>
      <c r="N64" s="8" t="n">
        <v>27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255</v>
      </c>
      <c r="C65" s="9" t="inlineStr">
        <is>
          <t>1/14 foreman:1 opetator ,1 helper</t>
        </is>
      </c>
      <c r="D65" s="9" t="inlineStr">
        <is>
          <t>Hoe</t>
        </is>
      </c>
      <c r="E65" s="9" t="inlineStr">
        <is>
          <t xml:space="preserve">soft rock excavation using hydraulic excavator </t>
        </is>
      </c>
      <c r="F65" s="9" t="n"/>
      <c r="G65" s="9" t="inlineStr">
        <is>
          <t>soft rock</t>
        </is>
      </c>
      <c r="H65" s="9" t="n">
        <v>0.75</v>
      </c>
      <c r="I65" s="9" t="n"/>
      <c r="J65" s="9" t="n">
        <v>0.61</v>
      </c>
      <c r="K65" s="9" t="n"/>
      <c r="L65" s="9" t="n"/>
      <c r="M65" s="9" t="n">
        <v>1.3</v>
      </c>
      <c r="N65" s="9" t="n">
        <v>26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256</v>
      </c>
      <c r="C66" s="7" t="inlineStr">
        <is>
          <t>1/14 foreman:1 opetator ,1 helper</t>
        </is>
      </c>
      <c r="D66" s="7" t="inlineStr">
        <is>
          <t>Hoe</t>
        </is>
      </c>
      <c r="E66" s="7" t="inlineStr">
        <is>
          <t xml:space="preserve">soft rock excavation using hydraulic excavator </t>
        </is>
      </c>
      <c r="F66" s="7" t="n"/>
      <c r="G66" s="7" t="inlineStr">
        <is>
          <t>soft rock</t>
        </is>
      </c>
      <c r="H66" s="7" t="n">
        <v>0.75</v>
      </c>
      <c r="I66" s="7" t="n"/>
      <c r="J66" s="7" t="n">
        <v>0.61</v>
      </c>
      <c r="K66" s="7" t="n"/>
      <c r="L66" s="7" t="n"/>
      <c r="M66" s="7" t="n">
        <v>1.3</v>
      </c>
      <c r="N66" s="7" t="n">
        <v>109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257</v>
      </c>
      <c r="C67" s="8" t="inlineStr">
        <is>
          <t>1/14 foreman:1 opetator ,1 helper</t>
        </is>
      </c>
      <c r="D67" s="8" t="inlineStr">
        <is>
          <t>Hoe</t>
        </is>
      </c>
      <c r="E67" s="8" t="inlineStr">
        <is>
          <t xml:space="preserve">soft rock excavation using hydraulic excavator </t>
        </is>
      </c>
      <c r="F67" s="8" t="n"/>
      <c r="G67" s="8" t="inlineStr">
        <is>
          <t>soft rock</t>
        </is>
      </c>
      <c r="H67" s="8" t="n">
        <v>0.75</v>
      </c>
      <c r="I67" s="8" t="n"/>
      <c r="J67" s="8" t="n">
        <v>0.61</v>
      </c>
      <c r="K67" s="8" t="n"/>
      <c r="L67" s="8" t="n"/>
      <c r="M67" s="8" t="n">
        <v>1.3</v>
      </c>
      <c r="N67" s="8" t="n">
        <v>25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258</v>
      </c>
      <c r="C68" s="8" t="inlineStr">
        <is>
          <t>1/14 foreman:1 opetator ,1 helper</t>
        </is>
      </c>
      <c r="D68" s="8" t="inlineStr">
        <is>
          <t>Hoe</t>
        </is>
      </c>
      <c r="E68" s="8" t="inlineStr">
        <is>
          <t xml:space="preserve">soft rock excavation using hydraulic excavator </t>
        </is>
      </c>
      <c r="F68" s="8" t="n"/>
      <c r="G68" s="8" t="inlineStr">
        <is>
          <t>soft rock</t>
        </is>
      </c>
      <c r="H68" s="8" t="n">
        <v>0.75</v>
      </c>
      <c r="I68" s="8" t="n"/>
      <c r="J68" s="8" t="n">
        <v>0.61</v>
      </c>
      <c r="K68" s="8" t="n"/>
      <c r="L68" s="8" t="n"/>
      <c r="M68" s="8" t="n">
        <v>1.3</v>
      </c>
      <c r="N68" s="8" t="n">
        <v>24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259</v>
      </c>
      <c r="C69" s="8" t="inlineStr">
        <is>
          <t>1/14 foreman:1 opetator ,1 helper</t>
        </is>
      </c>
      <c r="D69" s="8" t="inlineStr">
        <is>
          <t>Hoe</t>
        </is>
      </c>
      <c r="E69" s="8" t="inlineStr">
        <is>
          <t xml:space="preserve">soft rock excavation using hydraulic excavator </t>
        </is>
      </c>
      <c r="F69" s="8" t="n"/>
      <c r="G69" s="8" t="inlineStr">
        <is>
          <t>soft rock</t>
        </is>
      </c>
      <c r="H69" s="8" t="n">
        <v>0.75</v>
      </c>
      <c r="I69" s="8" t="n"/>
      <c r="J69" s="8" t="n">
        <v>0.61</v>
      </c>
      <c r="K69" s="8" t="n"/>
      <c r="L69" s="8" t="n"/>
      <c r="M69" s="8" t="n">
        <v>1.3</v>
      </c>
      <c r="N69" s="8" t="n">
        <v>26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260</v>
      </c>
      <c r="C70" s="9" t="inlineStr">
        <is>
          <t>1/14 foreman:1 opetator ,1 helper</t>
        </is>
      </c>
      <c r="D70" s="9" t="inlineStr">
        <is>
          <t>Hoe</t>
        </is>
      </c>
      <c r="E70" s="9" t="inlineStr">
        <is>
          <t xml:space="preserve">soft rock excavation using hydraulic excavator </t>
        </is>
      </c>
      <c r="F70" s="9" t="n"/>
      <c r="G70" s="9" t="inlineStr">
        <is>
          <t>soft rock</t>
        </is>
      </c>
      <c r="H70" s="9" t="n">
        <v>0.75</v>
      </c>
      <c r="I70" s="9" t="n"/>
      <c r="J70" s="9" t="n">
        <v>0.61</v>
      </c>
      <c r="K70" s="9" t="n"/>
      <c r="L70" s="9" t="n"/>
      <c r="M70" s="9" t="n">
        <v>1.3</v>
      </c>
      <c r="N70" s="9" t="n">
        <v>26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261</v>
      </c>
      <c r="C71" s="7" t="inlineStr">
        <is>
          <t>1/14 foreman:1 opetator ,1 helper</t>
        </is>
      </c>
      <c r="D71" s="7" t="inlineStr">
        <is>
          <t>Hoe</t>
        </is>
      </c>
      <c r="E71" s="7" t="inlineStr">
        <is>
          <t xml:space="preserve">soft rock excavation using hydraulic excavator </t>
        </is>
      </c>
      <c r="F71" s="7" t="n"/>
      <c r="G71" s="7" t="inlineStr">
        <is>
          <t>soft rock</t>
        </is>
      </c>
      <c r="H71" s="7" t="n">
        <v>0.75</v>
      </c>
      <c r="I71" s="7" t="n"/>
      <c r="J71" s="7" t="n">
        <v>0.61</v>
      </c>
      <c r="K71" s="7" t="n"/>
      <c r="L71" s="7" t="n"/>
      <c r="M71" s="7" t="n">
        <v>1.3</v>
      </c>
      <c r="N71" s="7" t="n">
        <v>27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262</v>
      </c>
      <c r="C72" s="8" t="inlineStr">
        <is>
          <t>1/14 foreman:1 opetator ,1 helper</t>
        </is>
      </c>
      <c r="D72" s="8" t="inlineStr">
        <is>
          <t>Hoe</t>
        </is>
      </c>
      <c r="E72" s="8" t="inlineStr">
        <is>
          <t xml:space="preserve">soft rock excavation using hydraulic excavator </t>
        </is>
      </c>
      <c r="F72" s="8" t="n"/>
      <c r="G72" s="8" t="inlineStr">
        <is>
          <t>soft rock</t>
        </is>
      </c>
      <c r="H72" s="8" t="n">
        <v>0.75</v>
      </c>
      <c r="I72" s="8" t="n"/>
      <c r="J72" s="8" t="n">
        <v>0.61</v>
      </c>
      <c r="K72" s="8" t="n"/>
      <c r="L72" s="8" t="n"/>
      <c r="M72" s="8" t="n">
        <v>1.3</v>
      </c>
      <c r="N72" s="8" t="n">
        <v>25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263</v>
      </c>
      <c r="C73" s="8" t="inlineStr">
        <is>
          <t>1/14 foreman:1 opetator ,1 helper</t>
        </is>
      </c>
      <c r="D73" s="8" t="inlineStr">
        <is>
          <t>Hoe</t>
        </is>
      </c>
      <c r="E73" s="8" t="inlineStr">
        <is>
          <t xml:space="preserve">soft rock excavation using hydraulic excavator </t>
        </is>
      </c>
      <c r="F73" s="8" t="n"/>
      <c r="G73" s="8" t="inlineStr">
        <is>
          <t>soft rock</t>
        </is>
      </c>
      <c r="H73" s="8" t="n">
        <v>0.75</v>
      </c>
      <c r="I73" s="8" t="n"/>
      <c r="J73" s="8" t="n">
        <v>0.61</v>
      </c>
      <c r="K73" s="8" t="n"/>
      <c r="L73" s="8" t="n"/>
      <c r="M73" s="8" t="n">
        <v>1.3</v>
      </c>
      <c r="N73" s="8" t="n">
        <v>24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264</v>
      </c>
      <c r="C74" s="8" t="inlineStr">
        <is>
          <t>1/14 foreman:1 opetator ,1 helper</t>
        </is>
      </c>
      <c r="D74" s="8" t="inlineStr">
        <is>
          <t>Hoe</t>
        </is>
      </c>
      <c r="E74" s="8" t="inlineStr">
        <is>
          <t xml:space="preserve">soft rock excavation using hydraulic excavator </t>
        </is>
      </c>
      <c r="F74" s="8" t="n"/>
      <c r="G74" s="8" t="inlineStr">
        <is>
          <t>soft rock</t>
        </is>
      </c>
      <c r="H74" s="8" t="n">
        <v>0.75</v>
      </c>
      <c r="I74" s="8" t="n"/>
      <c r="J74" s="8" t="n">
        <v>0.61</v>
      </c>
      <c r="K74" s="8" t="n"/>
      <c r="L74" s="8" t="n"/>
      <c r="M74" s="8" t="n">
        <v>1.3</v>
      </c>
      <c r="N74" s="8" t="n">
        <v>30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265</v>
      </c>
      <c r="C75" s="9" t="inlineStr">
        <is>
          <t>1/14 foreman:1 opetator ,1 helper</t>
        </is>
      </c>
      <c r="D75" s="9" t="inlineStr">
        <is>
          <t>Hoe</t>
        </is>
      </c>
      <c r="E75" s="9" t="inlineStr">
        <is>
          <t xml:space="preserve">soft rock excavation using hydraulic excavator </t>
        </is>
      </c>
      <c r="F75" s="9" t="n"/>
      <c r="G75" s="9" t="inlineStr">
        <is>
          <t>soft rock</t>
        </is>
      </c>
      <c r="H75" s="9" t="n">
        <v>0.75</v>
      </c>
      <c r="I75" s="9" t="n"/>
      <c r="J75" s="9" t="n">
        <v>0.61</v>
      </c>
      <c r="K75" s="9" t="n"/>
      <c r="L75" s="9" t="n"/>
      <c r="M75" s="9" t="n">
        <v>1.3</v>
      </c>
      <c r="N75" s="9" t="n">
        <v>92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266</v>
      </c>
      <c r="C76" s="7" t="inlineStr">
        <is>
          <t>1/14 foreman:1 opetator ,1 helper</t>
        </is>
      </c>
      <c r="D76" s="7" t="inlineStr">
        <is>
          <t>Hoe</t>
        </is>
      </c>
      <c r="E76" s="7" t="inlineStr">
        <is>
          <t xml:space="preserve">soft rock excavation using hydraulic excavator </t>
        </is>
      </c>
      <c r="F76" s="7" t="n"/>
      <c r="G76" s="7" t="inlineStr">
        <is>
          <t>soft rock</t>
        </is>
      </c>
      <c r="H76" s="7" t="n">
        <v>0.75</v>
      </c>
      <c r="I76" s="7" t="n"/>
      <c r="J76" s="7" t="n">
        <v>0.61</v>
      </c>
      <c r="K76" s="7" t="n"/>
      <c r="L76" s="7" t="n"/>
      <c r="M76" s="7" t="n">
        <v>1.3</v>
      </c>
      <c r="N76" s="7" t="n">
        <v>29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267</v>
      </c>
      <c r="C77" s="8" t="inlineStr">
        <is>
          <t>1/14 foreman:1 opetator ,1 helper</t>
        </is>
      </c>
      <c r="D77" s="8" t="inlineStr">
        <is>
          <t>Hoe</t>
        </is>
      </c>
      <c r="E77" s="8" t="inlineStr">
        <is>
          <t xml:space="preserve">soft rock excavation using hydraulic excavator </t>
        </is>
      </c>
      <c r="F77" s="8" t="n"/>
      <c r="G77" s="8" t="inlineStr">
        <is>
          <t>soft rock</t>
        </is>
      </c>
      <c r="H77" s="8" t="n">
        <v>0.75</v>
      </c>
      <c r="I77" s="8" t="n"/>
      <c r="J77" s="8" t="n">
        <v>0.61</v>
      </c>
      <c r="K77" s="8" t="n"/>
      <c r="L77" s="8" t="n"/>
      <c r="M77" s="8" t="n">
        <v>1.3</v>
      </c>
      <c r="N77" s="8" t="n">
        <v>28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268</v>
      </c>
      <c r="C78" s="8" t="inlineStr">
        <is>
          <t>1/14 foreman:1 opetator ,1 helper</t>
        </is>
      </c>
      <c r="D78" s="8" t="inlineStr">
        <is>
          <t>Hoe</t>
        </is>
      </c>
      <c r="E78" s="8" t="inlineStr">
        <is>
          <t xml:space="preserve">soft rock excavation using hydraulic excavator </t>
        </is>
      </c>
      <c r="F78" s="8" t="n"/>
      <c r="G78" s="8" t="inlineStr">
        <is>
          <t>soft rock</t>
        </is>
      </c>
      <c r="H78" s="8" t="n">
        <v>0.75</v>
      </c>
      <c r="I78" s="8" t="n"/>
      <c r="J78" s="8" t="n">
        <v>0.61</v>
      </c>
      <c r="K78" s="8" t="n"/>
      <c r="L78" s="8" t="n"/>
      <c r="M78" s="8" t="n">
        <v>1.3</v>
      </c>
      <c r="N78" s="8" t="n">
        <v>30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269</v>
      </c>
      <c r="C79" s="8" t="inlineStr">
        <is>
          <t>1/14 foreman:1 opetator ,1 helper</t>
        </is>
      </c>
      <c r="D79" s="8" t="inlineStr">
        <is>
          <t>Hoe</t>
        </is>
      </c>
      <c r="E79" s="8" t="inlineStr">
        <is>
          <t xml:space="preserve">soft rock excavation using hydraulic excavator </t>
        </is>
      </c>
      <c r="F79" s="8" t="n"/>
      <c r="G79" s="8" t="inlineStr">
        <is>
          <t>soft rock</t>
        </is>
      </c>
      <c r="H79" s="8" t="n">
        <v>0.75</v>
      </c>
      <c r="I79" s="8" t="n"/>
      <c r="J79" s="8" t="n">
        <v>0.61</v>
      </c>
      <c r="K79" s="8" t="n"/>
      <c r="L79" s="8" t="n"/>
      <c r="M79" s="8" t="n">
        <v>1.3</v>
      </c>
      <c r="N79" s="8" t="n">
        <v>27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270</v>
      </c>
      <c r="C80" s="9" t="inlineStr">
        <is>
          <t>1/14 foreman:1 opetator ,1 helper</t>
        </is>
      </c>
      <c r="D80" s="9" t="inlineStr">
        <is>
          <t>Hoe</t>
        </is>
      </c>
      <c r="E80" s="9" t="inlineStr">
        <is>
          <t xml:space="preserve">soft rock excavation using hydraulic excavator </t>
        </is>
      </c>
      <c r="F80" s="9" t="n"/>
      <c r="G80" s="9" t="inlineStr">
        <is>
          <t>soft rock</t>
        </is>
      </c>
      <c r="H80" s="9" t="n">
        <v>0.75</v>
      </c>
      <c r="I80" s="9" t="n"/>
      <c r="J80" s="9" t="n">
        <v>0.61</v>
      </c>
      <c r="K80" s="9" t="n"/>
      <c r="L80" s="9" t="n"/>
      <c r="M80" s="9" t="n">
        <v>1.3</v>
      </c>
      <c r="N80" s="9" t="n">
        <v>31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271</v>
      </c>
      <c r="C81" s="7" t="inlineStr">
        <is>
          <t>1/14 foreman:1 opetator ,1 helper</t>
        </is>
      </c>
      <c r="D81" s="7" t="inlineStr">
        <is>
          <t>Hoe</t>
        </is>
      </c>
      <c r="E81" s="7" t="inlineStr">
        <is>
          <t xml:space="preserve">soft rock excavation using hydraulic excavator </t>
        </is>
      </c>
      <c r="F81" s="7" t="n"/>
      <c r="G81" s="7" t="inlineStr">
        <is>
          <t>soft rock</t>
        </is>
      </c>
      <c r="H81" s="7" t="n">
        <v>0.75</v>
      </c>
      <c r="I81" s="7" t="n"/>
      <c r="J81" s="7" t="n">
        <v>0.61</v>
      </c>
      <c r="K81" s="7" t="n"/>
      <c r="L81" s="7" t="n"/>
      <c r="M81" s="7" t="n">
        <v>1.3</v>
      </c>
      <c r="N81" s="7" t="n">
        <v>31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272</v>
      </c>
      <c r="C82" s="8" t="inlineStr">
        <is>
          <t>1/14 foreman:1 opetator ,1 helper</t>
        </is>
      </c>
      <c r="D82" s="8" t="inlineStr">
        <is>
          <t>Hoe</t>
        </is>
      </c>
      <c r="E82" s="8" t="inlineStr">
        <is>
          <t xml:space="preserve">soft rock excavation using hydraulic excavator </t>
        </is>
      </c>
      <c r="F82" s="8" t="n"/>
      <c r="G82" s="8" t="inlineStr">
        <is>
          <t>soft rock</t>
        </is>
      </c>
      <c r="H82" s="8" t="n">
        <v>0.75</v>
      </c>
      <c r="I82" s="8" t="n"/>
      <c r="J82" s="8" t="n">
        <v>0.61</v>
      </c>
      <c r="K82" s="8" t="n"/>
      <c r="L82" s="8" t="n"/>
      <c r="M82" s="8" t="n">
        <v>1.3</v>
      </c>
      <c r="N82" s="8" t="n">
        <v>27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273</v>
      </c>
      <c r="C83" s="8" t="inlineStr">
        <is>
          <t>1/14 foreman:1 opetator ,1 helper</t>
        </is>
      </c>
      <c r="D83" s="8" t="inlineStr">
        <is>
          <t>Hoe</t>
        </is>
      </c>
      <c r="E83" s="8" t="inlineStr">
        <is>
          <t xml:space="preserve">soft rock excavation using hydraulic excavator </t>
        </is>
      </c>
      <c r="F83" s="8" t="n"/>
      <c r="G83" s="8" t="inlineStr">
        <is>
          <t>soft rock</t>
        </is>
      </c>
      <c r="H83" s="8" t="n">
        <v>0.75</v>
      </c>
      <c r="I83" s="8" t="n"/>
      <c r="J83" s="8" t="n">
        <v>0.61</v>
      </c>
      <c r="K83" s="8" t="n"/>
      <c r="L83" s="8" t="n"/>
      <c r="M83" s="8" t="n">
        <v>1.3</v>
      </c>
      <c r="N83" s="8" t="n">
        <v>297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274</v>
      </c>
      <c r="C84" s="8" t="inlineStr">
        <is>
          <t>1/14 foreman:1 opetator ,1 helper</t>
        </is>
      </c>
      <c r="D84" s="8" t="inlineStr">
        <is>
          <t>Hoe</t>
        </is>
      </c>
      <c r="E84" s="8" t="inlineStr">
        <is>
          <t xml:space="preserve">soft rock excavation using hydraulic excavator </t>
        </is>
      </c>
      <c r="F84" s="8" t="n"/>
      <c r="G84" s="8" t="inlineStr">
        <is>
          <t>soft rock</t>
        </is>
      </c>
      <c r="H84" s="8" t="n">
        <v>0.75</v>
      </c>
      <c r="I84" s="8" t="n"/>
      <c r="J84" s="8" t="n">
        <v>0.61</v>
      </c>
      <c r="K84" s="8" t="n"/>
      <c r="L84" s="8" t="n"/>
      <c r="M84" s="8" t="n">
        <v>1.3</v>
      </c>
      <c r="N84" s="8" t="n">
        <v>30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275</v>
      </c>
      <c r="C85" s="9" t="inlineStr">
        <is>
          <t>1/14 foreman:1 opetator ,1 helper</t>
        </is>
      </c>
      <c r="D85" s="9" t="inlineStr">
        <is>
          <t>Hoe</t>
        </is>
      </c>
      <c r="E85" s="9" t="inlineStr">
        <is>
          <t xml:space="preserve">soft rock excavation using hydraulic excavator </t>
        </is>
      </c>
      <c r="F85" s="9" t="n"/>
      <c r="G85" s="9" t="inlineStr">
        <is>
          <t>soft rock</t>
        </is>
      </c>
      <c r="H85" s="9" t="n">
        <v>0.75</v>
      </c>
      <c r="I85" s="9" t="n"/>
      <c r="J85" s="9" t="n">
        <v>0.61</v>
      </c>
      <c r="K85" s="9" t="n"/>
      <c r="L85" s="9" t="n"/>
      <c r="M85" s="9" t="n">
        <v>1.3</v>
      </c>
      <c r="N85" s="9" t="n">
        <v>29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276</v>
      </c>
      <c r="C86" s="7" t="inlineStr">
        <is>
          <t>1/14 foreman:1 opetator ,1 helper</t>
        </is>
      </c>
      <c r="D86" s="7" t="inlineStr">
        <is>
          <t>Hoe</t>
        </is>
      </c>
      <c r="E86" s="7" t="inlineStr">
        <is>
          <t xml:space="preserve">soft rock excavation using hydraulic excavator </t>
        </is>
      </c>
      <c r="F86" s="7" t="n"/>
      <c r="G86" s="7" t="inlineStr">
        <is>
          <t>soft rock</t>
        </is>
      </c>
      <c r="H86" s="7" t="n">
        <v>0.75</v>
      </c>
      <c r="I86" s="7" t="n"/>
      <c r="J86" s="7" t="n">
        <v>0.61</v>
      </c>
      <c r="K86" s="7" t="n"/>
      <c r="L86" s="7" t="n"/>
      <c r="M86" s="7" t="n">
        <v>1.3</v>
      </c>
      <c r="N86" s="7" t="n">
        <v>30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277</v>
      </c>
      <c r="C87" s="8" t="inlineStr">
        <is>
          <t>1/14 foreman:1 opetator ,1 helper</t>
        </is>
      </c>
      <c r="D87" s="8" t="inlineStr">
        <is>
          <t>Hoe</t>
        </is>
      </c>
      <c r="E87" s="8" t="inlineStr">
        <is>
          <t xml:space="preserve">soft rock excavation using hydraulic excavator </t>
        </is>
      </c>
      <c r="F87" s="8" t="n"/>
      <c r="G87" s="8" t="inlineStr">
        <is>
          <t>soft rock</t>
        </is>
      </c>
      <c r="H87" s="8" t="n">
        <v>0.75</v>
      </c>
      <c r="I87" s="8" t="n"/>
      <c r="J87" s="8" t="n">
        <v>0.61</v>
      </c>
      <c r="K87" s="8" t="n"/>
      <c r="L87" s="8" t="n"/>
      <c r="M87" s="8" t="n">
        <v>1.3</v>
      </c>
      <c r="N87" s="8" t="n">
        <v>25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278</v>
      </c>
      <c r="C88" s="8" t="inlineStr">
        <is>
          <t>1/14 foreman:1 opetator ,1 helper</t>
        </is>
      </c>
      <c r="D88" s="8" t="inlineStr">
        <is>
          <t>Hoe</t>
        </is>
      </c>
      <c r="E88" s="8" t="inlineStr">
        <is>
          <t xml:space="preserve">soft rock excavation using hydraulic excavator </t>
        </is>
      </c>
      <c r="F88" s="8" t="n"/>
      <c r="G88" s="8" t="inlineStr">
        <is>
          <t>soft rock</t>
        </is>
      </c>
      <c r="H88" s="8" t="n">
        <v>0.75</v>
      </c>
      <c r="I88" s="8" t="n"/>
      <c r="J88" s="8" t="n">
        <v>0.61</v>
      </c>
      <c r="K88" s="8" t="n"/>
      <c r="L88" s="8" t="n"/>
      <c r="M88" s="8" t="n">
        <v>1.3</v>
      </c>
      <c r="N88" s="8" t="n">
        <v>25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279</v>
      </c>
      <c r="C89" s="8" t="inlineStr">
        <is>
          <t>1/14 foreman:1 opetator ,1 helper</t>
        </is>
      </c>
      <c r="D89" s="8" t="inlineStr">
        <is>
          <t>Hoe</t>
        </is>
      </c>
      <c r="E89" s="8" t="inlineStr">
        <is>
          <t xml:space="preserve">soft rock excavation using hydraulic excavator </t>
        </is>
      </c>
      <c r="F89" s="8" t="n"/>
      <c r="G89" s="8" t="inlineStr">
        <is>
          <t>soft rock</t>
        </is>
      </c>
      <c r="H89" s="8" t="n">
        <v>0.75</v>
      </c>
      <c r="I89" s="8" t="n"/>
      <c r="J89" s="8" t="n">
        <v>0.61</v>
      </c>
      <c r="K89" s="8" t="n"/>
      <c r="L89" s="8" t="n"/>
      <c r="M89" s="8" t="n">
        <v>1.3</v>
      </c>
      <c r="N89" s="8" t="n">
        <v>26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280</v>
      </c>
      <c r="C90" s="9" t="inlineStr">
        <is>
          <t>1/14 foreman:1 opetator ,1 helper</t>
        </is>
      </c>
      <c r="D90" s="9" t="inlineStr">
        <is>
          <t>Hoe</t>
        </is>
      </c>
      <c r="E90" s="9" t="inlineStr">
        <is>
          <t xml:space="preserve">soft rock excavation using hydraulic excavator </t>
        </is>
      </c>
      <c r="F90" s="9" t="n"/>
      <c r="G90" s="9" t="inlineStr">
        <is>
          <t>soft rock</t>
        </is>
      </c>
      <c r="H90" s="9" t="n">
        <v>0.75</v>
      </c>
      <c r="I90" s="9" t="n"/>
      <c r="J90" s="9" t="n">
        <v>0.61</v>
      </c>
      <c r="K90" s="9" t="n"/>
      <c r="L90" s="9" t="n"/>
      <c r="M90" s="9" t="n">
        <v>1.3</v>
      </c>
      <c r="N90" s="9" t="n">
        <v>26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281</v>
      </c>
      <c r="C91" s="7" t="inlineStr">
        <is>
          <t>1/14 foreman:1 opetator ,1 helper</t>
        </is>
      </c>
      <c r="D91" s="7" t="inlineStr">
        <is>
          <t>Hoe</t>
        </is>
      </c>
      <c r="E91" s="7" t="inlineStr">
        <is>
          <t xml:space="preserve">soft rock excavation using hydraulic excavator </t>
        </is>
      </c>
      <c r="F91" s="7" t="n"/>
      <c r="G91" s="7" t="inlineStr">
        <is>
          <t>soft rock</t>
        </is>
      </c>
      <c r="H91" s="7" t="n">
        <v>0.75</v>
      </c>
      <c r="I91" s="7" t="n"/>
      <c r="J91" s="7" t="n">
        <v>0.61</v>
      </c>
      <c r="K91" s="7" t="n"/>
      <c r="L91" s="7" t="n"/>
      <c r="M91" s="7" t="n">
        <v>1.3</v>
      </c>
      <c r="N91" s="7" t="n">
        <v>92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282</v>
      </c>
      <c r="C92" s="8" t="inlineStr">
        <is>
          <t>1/14 foreman:1 opetator ,1 helper</t>
        </is>
      </c>
      <c r="D92" s="8" t="inlineStr">
        <is>
          <t>Hoe</t>
        </is>
      </c>
      <c r="E92" s="8" t="inlineStr">
        <is>
          <t xml:space="preserve">soft rock excavation using hydraulic excavator </t>
        </is>
      </c>
      <c r="F92" s="8" t="n"/>
      <c r="G92" s="8" t="inlineStr">
        <is>
          <t>soft rock</t>
        </is>
      </c>
      <c r="H92" s="8" t="n">
        <v>0.75</v>
      </c>
      <c r="I92" s="8" t="n"/>
      <c r="J92" s="8" t="n">
        <v>0.61</v>
      </c>
      <c r="K92" s="8" t="n"/>
      <c r="L92" s="8" t="n"/>
      <c r="M92" s="8" t="n">
        <v>1.3</v>
      </c>
      <c r="N92" s="8" t="n">
        <v>24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283</v>
      </c>
      <c r="C93" s="8" t="inlineStr">
        <is>
          <t>1/14 foreman:1 opetator ,1 helper</t>
        </is>
      </c>
      <c r="D93" s="8" t="inlineStr">
        <is>
          <t>Hoe</t>
        </is>
      </c>
      <c r="E93" s="8" t="inlineStr">
        <is>
          <t xml:space="preserve">soft rock excavation using hydraulic excavator </t>
        </is>
      </c>
      <c r="F93" s="8" t="n"/>
      <c r="G93" s="8" t="inlineStr">
        <is>
          <t>soft rock</t>
        </is>
      </c>
      <c r="H93" s="8" t="n">
        <v>0.75</v>
      </c>
      <c r="I93" s="8" t="n"/>
      <c r="J93" s="8" t="n">
        <v>0.61</v>
      </c>
      <c r="K93" s="8" t="n"/>
      <c r="L93" s="8" t="n"/>
      <c r="M93" s="8" t="n">
        <v>1.3</v>
      </c>
      <c r="N93" s="8" t="n">
        <v>24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284</v>
      </c>
      <c r="C94" s="8" t="inlineStr">
        <is>
          <t>1/14 foreman:1 opetator ,1 helper</t>
        </is>
      </c>
      <c r="D94" s="8" t="inlineStr">
        <is>
          <t>Hoe</t>
        </is>
      </c>
      <c r="E94" s="8" t="inlineStr">
        <is>
          <t xml:space="preserve">soft rock excavation using hydraulic excavator </t>
        </is>
      </c>
      <c r="F94" s="8" t="n"/>
      <c r="G94" s="8" t="inlineStr">
        <is>
          <t>soft rock</t>
        </is>
      </c>
      <c r="H94" s="8" t="n">
        <v>0.75</v>
      </c>
      <c r="I94" s="8" t="n"/>
      <c r="J94" s="8" t="n">
        <v>0.61</v>
      </c>
      <c r="K94" s="8" t="n"/>
      <c r="L94" s="8" t="n"/>
      <c r="M94" s="8" t="n">
        <v>1.3</v>
      </c>
      <c r="N94" s="8" t="n">
        <v>23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285</v>
      </c>
      <c r="C95" s="9" t="inlineStr">
        <is>
          <t>1/14 foreman:1 opetator ,1 helper</t>
        </is>
      </c>
      <c r="D95" s="9" t="inlineStr">
        <is>
          <t>Hoe</t>
        </is>
      </c>
      <c r="E95" s="9" t="inlineStr">
        <is>
          <t xml:space="preserve">soft rock excavation using hydraulic excavator </t>
        </is>
      </c>
      <c r="F95" s="9" t="n"/>
      <c r="G95" s="9" t="inlineStr">
        <is>
          <t>soft rock</t>
        </is>
      </c>
      <c r="H95" s="9" t="n">
        <v>0.75</v>
      </c>
      <c r="I95" s="9" t="n"/>
      <c r="J95" s="9" t="n">
        <v>0.61</v>
      </c>
      <c r="K95" s="9" t="n"/>
      <c r="L95" s="9" t="n"/>
      <c r="M95" s="9" t="n">
        <v>1.3</v>
      </c>
      <c r="N95" s="9" t="n">
        <v>23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286</v>
      </c>
      <c r="C96" s="7" t="inlineStr">
        <is>
          <t>1/14 foreman:1 opetator ,1 helper</t>
        </is>
      </c>
      <c r="D96" s="7" t="inlineStr">
        <is>
          <t>Hoe</t>
        </is>
      </c>
      <c r="E96" s="7" t="inlineStr">
        <is>
          <t xml:space="preserve">soft rock excavation using hydraulic excavator </t>
        </is>
      </c>
      <c r="F96" s="7" t="n"/>
      <c r="G96" s="7" t="inlineStr">
        <is>
          <t>soft rock</t>
        </is>
      </c>
      <c r="H96" s="7" t="n">
        <v>0.75</v>
      </c>
      <c r="I96" s="7" t="n"/>
      <c r="J96" s="7" t="n">
        <v>0.61</v>
      </c>
      <c r="K96" s="7" t="n"/>
      <c r="L96" s="7" t="n"/>
      <c r="M96" s="7" t="n">
        <v>1.3</v>
      </c>
      <c r="N96" s="7" t="n">
        <v>26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287</v>
      </c>
      <c r="C97" s="8" t="inlineStr">
        <is>
          <t>1/14 foreman:1 opetator ,1 helper</t>
        </is>
      </c>
      <c r="D97" s="8" t="inlineStr">
        <is>
          <t>Hoe</t>
        </is>
      </c>
      <c r="E97" s="8" t="inlineStr">
        <is>
          <t xml:space="preserve">soft rock excavation using hydraulic excavator </t>
        </is>
      </c>
      <c r="F97" s="8" t="n"/>
      <c r="G97" s="8" t="inlineStr">
        <is>
          <t>soft rock</t>
        </is>
      </c>
      <c r="H97" s="8" t="n">
        <v>0.75</v>
      </c>
      <c r="I97" s="8" t="n"/>
      <c r="J97" s="8" t="n">
        <v>0.61</v>
      </c>
      <c r="K97" s="8" t="n"/>
      <c r="L97" s="8" t="n"/>
      <c r="M97" s="8" t="n">
        <v>1.3</v>
      </c>
      <c r="N97" s="8" t="n">
        <v>25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288</v>
      </c>
      <c r="C98" s="8" t="inlineStr">
        <is>
          <t>1/14 foreman:1 opetator ,1 helper</t>
        </is>
      </c>
      <c r="D98" s="8" t="inlineStr">
        <is>
          <t>Hoe</t>
        </is>
      </c>
      <c r="E98" s="8" t="inlineStr">
        <is>
          <t xml:space="preserve">soft rock excavation using hydraulic excavator </t>
        </is>
      </c>
      <c r="F98" s="8" t="n"/>
      <c r="G98" s="8" t="inlineStr">
        <is>
          <t>soft rock</t>
        </is>
      </c>
      <c r="H98" s="8" t="n">
        <v>0.75</v>
      </c>
      <c r="I98" s="8" t="n"/>
      <c r="J98" s="8" t="n">
        <v>0.61</v>
      </c>
      <c r="K98" s="8" t="n"/>
      <c r="L98" s="8" t="n"/>
      <c r="M98" s="8" t="n">
        <v>1.3</v>
      </c>
      <c r="N98" s="8" t="n">
        <v>24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289</v>
      </c>
      <c r="C99" s="8" t="inlineStr">
        <is>
          <t>1/14 foreman:1 opetator ,1 helper</t>
        </is>
      </c>
      <c r="D99" s="8" t="inlineStr">
        <is>
          <t>Hoe</t>
        </is>
      </c>
      <c r="E99" s="8" t="inlineStr">
        <is>
          <t xml:space="preserve">soft rock excavation using hydraulic excavator </t>
        </is>
      </c>
      <c r="F99" s="8" t="n"/>
      <c r="G99" s="8" t="inlineStr">
        <is>
          <t>soft rock</t>
        </is>
      </c>
      <c r="H99" s="8" t="n">
        <v>0.75</v>
      </c>
      <c r="I99" s="8" t="n"/>
      <c r="J99" s="8" t="n">
        <v>0.61</v>
      </c>
      <c r="K99" s="8" t="n"/>
      <c r="L99" s="8" t="n"/>
      <c r="M99" s="8" t="n">
        <v>1.3</v>
      </c>
      <c r="N99" s="8" t="n">
        <v>29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290</v>
      </c>
      <c r="C100" s="9" t="inlineStr">
        <is>
          <t>1/14 foreman:1 opetator ,1 helper</t>
        </is>
      </c>
      <c r="D100" s="9" t="inlineStr">
        <is>
          <t>Hoe</t>
        </is>
      </c>
      <c r="E100" s="9" t="inlineStr">
        <is>
          <t xml:space="preserve">soft rock excavation using hydraulic excavator </t>
        </is>
      </c>
      <c r="F100" s="9" t="n"/>
      <c r="G100" s="9" t="inlineStr">
        <is>
          <t>soft rock</t>
        </is>
      </c>
      <c r="H100" s="9" t="n">
        <v>0.75</v>
      </c>
      <c r="I100" s="9" t="n"/>
      <c r="J100" s="9" t="n">
        <v>0.61</v>
      </c>
      <c r="K100" s="9" t="n"/>
      <c r="L100" s="9" t="n"/>
      <c r="M100" s="9" t="n">
        <v>1.3</v>
      </c>
      <c r="N100" s="9" t="n">
        <v>75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291</v>
      </c>
      <c r="C101" s="7" t="inlineStr">
        <is>
          <t>1/14 foreman:1 opetator ,1 helper</t>
        </is>
      </c>
      <c r="D101" s="7" t="inlineStr">
        <is>
          <t>Hoe</t>
        </is>
      </c>
      <c r="E101" s="7" t="inlineStr">
        <is>
          <t xml:space="preserve">soft rock excavation using hydraulic excavator </t>
        </is>
      </c>
      <c r="F101" s="7" t="n"/>
      <c r="G101" s="7" t="inlineStr">
        <is>
          <t>soft rock</t>
        </is>
      </c>
      <c r="H101" s="7" t="n">
        <v>0.75</v>
      </c>
      <c r="I101" s="7" t="n"/>
      <c r="J101" s="7" t="n">
        <v>0.61</v>
      </c>
      <c r="K101" s="7" t="n"/>
      <c r="L101" s="7" t="n"/>
      <c r="M101" s="7" t="n">
        <v>1.3</v>
      </c>
      <c r="N101" s="7" t="n">
        <v>31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292</v>
      </c>
      <c r="C102" s="8" t="inlineStr">
        <is>
          <t>1/14 foreman:1 opetator ,1 helper</t>
        </is>
      </c>
      <c r="D102" s="8" t="inlineStr">
        <is>
          <t>Hoe</t>
        </is>
      </c>
      <c r="E102" s="8" t="inlineStr">
        <is>
          <t xml:space="preserve">soft rock excavation using hydraulic excavator </t>
        </is>
      </c>
      <c r="F102" s="8" t="n"/>
      <c r="G102" s="8" t="inlineStr">
        <is>
          <t>soft rock</t>
        </is>
      </c>
      <c r="H102" s="8" t="n">
        <v>0.75</v>
      </c>
      <c r="I102" s="8" t="n"/>
      <c r="J102" s="8" t="n">
        <v>0.61</v>
      </c>
      <c r="K102" s="8" t="n"/>
      <c r="L102" s="8" t="n"/>
      <c r="M102" s="8" t="n">
        <v>1.3</v>
      </c>
      <c r="N102" s="8" t="n">
        <v>30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293</v>
      </c>
      <c r="C103" s="8" t="inlineStr">
        <is>
          <t>1/14 foreman:1 opetator ,1 helper</t>
        </is>
      </c>
      <c r="D103" s="8" t="inlineStr">
        <is>
          <t>Hoe</t>
        </is>
      </c>
      <c r="E103" s="8" t="inlineStr">
        <is>
          <t xml:space="preserve">soft rock excavation using hydraulic excavator </t>
        </is>
      </c>
      <c r="F103" s="8" t="n"/>
      <c r="G103" s="8" t="inlineStr">
        <is>
          <t>soft rock</t>
        </is>
      </c>
      <c r="H103" s="8" t="n">
        <v>0.75</v>
      </c>
      <c r="I103" s="8" t="n"/>
      <c r="J103" s="8" t="n">
        <v>0.61</v>
      </c>
      <c r="K103" s="8" t="n"/>
      <c r="L103" s="8" t="n"/>
      <c r="M103" s="8" t="n">
        <v>1.3</v>
      </c>
      <c r="N103" s="8" t="n">
        <v>29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294</v>
      </c>
      <c r="C104" s="8" t="inlineStr">
        <is>
          <t>1/14 foreman:1 opetator ,1 helper</t>
        </is>
      </c>
      <c r="D104" s="8" t="inlineStr">
        <is>
          <t>Hoe</t>
        </is>
      </c>
      <c r="E104" s="8" t="inlineStr">
        <is>
          <t xml:space="preserve">soft rock excavation using hydraulic excavator </t>
        </is>
      </c>
      <c r="F104" s="8" t="n"/>
      <c r="G104" s="8" t="inlineStr">
        <is>
          <t>soft rock</t>
        </is>
      </c>
      <c r="H104" s="8" t="n">
        <v>0.75</v>
      </c>
      <c r="I104" s="8" t="n"/>
      <c r="J104" s="8" t="n">
        <v>0.61</v>
      </c>
      <c r="K104" s="8" t="n"/>
      <c r="L104" s="8" t="n"/>
      <c r="M104" s="8" t="n">
        <v>1.3</v>
      </c>
      <c r="N104" s="8" t="n">
        <v>27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295</v>
      </c>
      <c r="C105" s="9" t="inlineStr">
        <is>
          <t>1/14 foreman:1 opetator ,1 helper</t>
        </is>
      </c>
      <c r="D105" s="9" t="inlineStr">
        <is>
          <t>Hoe</t>
        </is>
      </c>
      <c r="E105" s="9" t="inlineStr">
        <is>
          <t xml:space="preserve">soft rock excavation using hydraulic excavator </t>
        </is>
      </c>
      <c r="F105" s="9" t="n"/>
      <c r="G105" s="9" t="inlineStr">
        <is>
          <t>soft rock</t>
        </is>
      </c>
      <c r="H105" s="9" t="n">
        <v>0.75</v>
      </c>
      <c r="I105" s="9" t="n"/>
      <c r="J105" s="9" t="n">
        <v>0.61</v>
      </c>
      <c r="K105" s="9" t="n"/>
      <c r="L105" s="9" t="n"/>
      <c r="M105" s="9" t="n">
        <v>1.3</v>
      </c>
      <c r="N105" s="9" t="n">
        <v>32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296</v>
      </c>
      <c r="C106" s="7" t="inlineStr">
        <is>
          <t>1/14 foreman:1 opetator ,1 helper</t>
        </is>
      </c>
      <c r="D106" s="7" t="inlineStr">
        <is>
          <t>Hoe</t>
        </is>
      </c>
      <c r="E106" s="7" t="inlineStr">
        <is>
          <t xml:space="preserve">soft rock excavation using hydraulic excavator </t>
        </is>
      </c>
      <c r="F106" s="7" t="n"/>
      <c r="G106" s="7" t="inlineStr">
        <is>
          <t>soft rock</t>
        </is>
      </c>
      <c r="H106" s="7" t="n">
        <v>0.75</v>
      </c>
      <c r="I106" s="7" t="n"/>
      <c r="J106" s="7" t="n">
        <v>0.61</v>
      </c>
      <c r="K106" s="7" t="n"/>
      <c r="L106" s="7" t="n"/>
      <c r="M106" s="7" t="n">
        <v>1.3</v>
      </c>
      <c r="N106" s="7" t="n">
        <v>27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297</v>
      </c>
      <c r="C107" s="8" t="inlineStr">
        <is>
          <t>1/14 foreman:1 opetator ,1 helper</t>
        </is>
      </c>
      <c r="D107" s="8" t="inlineStr">
        <is>
          <t>Hoe</t>
        </is>
      </c>
      <c r="E107" s="8" t="inlineStr">
        <is>
          <t xml:space="preserve">soft rock excavation using hydraulic excavator </t>
        </is>
      </c>
      <c r="F107" s="8" t="n"/>
      <c r="G107" s="8" t="inlineStr">
        <is>
          <t>soft rock</t>
        </is>
      </c>
      <c r="H107" s="8" t="n">
        <v>0.75</v>
      </c>
      <c r="I107" s="8" t="n"/>
      <c r="J107" s="8" t="n">
        <v>0.61</v>
      </c>
      <c r="K107" s="8" t="n"/>
      <c r="L107" s="8" t="n"/>
      <c r="M107" s="8" t="n">
        <v>1.3</v>
      </c>
      <c r="N107" s="8" t="n">
        <v>27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298</v>
      </c>
      <c r="C108" s="8" t="inlineStr">
        <is>
          <t>1/14 foreman:1 opetator ,1 helper</t>
        </is>
      </c>
      <c r="D108" s="8" t="inlineStr">
        <is>
          <t>Hoe</t>
        </is>
      </c>
      <c r="E108" s="8" t="inlineStr">
        <is>
          <t xml:space="preserve">soft rock excavation using hydraulic excavator </t>
        </is>
      </c>
      <c r="F108" s="8" t="n"/>
      <c r="G108" s="8" t="inlineStr">
        <is>
          <t>soft rock</t>
        </is>
      </c>
      <c r="H108" s="8" t="n">
        <v>0.75</v>
      </c>
      <c r="I108" s="8" t="n"/>
      <c r="J108" s="8" t="n">
        <v>0.61</v>
      </c>
      <c r="K108" s="8" t="n"/>
      <c r="L108" s="8" t="n"/>
      <c r="M108" s="8" t="n">
        <v>1.3</v>
      </c>
      <c r="N108" s="8" t="n">
        <v>65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299</v>
      </c>
      <c r="C109" s="8" t="inlineStr">
        <is>
          <t>1/14 foreman:1 opetator ,1 helper</t>
        </is>
      </c>
      <c r="D109" s="8" t="inlineStr">
        <is>
          <t>Hoe</t>
        </is>
      </c>
      <c r="E109" s="8" t="inlineStr">
        <is>
          <t xml:space="preserve">soft rock excavation using hydraulic excavator </t>
        </is>
      </c>
      <c r="F109" s="8" t="n"/>
      <c r="G109" s="8" t="inlineStr">
        <is>
          <t>soft rock</t>
        </is>
      </c>
      <c r="H109" s="8" t="n">
        <v>0.75</v>
      </c>
      <c r="I109" s="8" t="n"/>
      <c r="J109" s="8" t="n">
        <v>0.61</v>
      </c>
      <c r="K109" s="8" t="n"/>
      <c r="L109" s="8" t="n"/>
      <c r="M109" s="8" t="n">
        <v>1.3</v>
      </c>
      <c r="N109" s="8" t="n">
        <v>17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300</v>
      </c>
      <c r="C110" s="9" t="inlineStr">
        <is>
          <t>1/14 foreman:1 opetator ,1 helper</t>
        </is>
      </c>
      <c r="D110" s="9" t="inlineStr">
        <is>
          <t>Hoe</t>
        </is>
      </c>
      <c r="E110" s="9" t="inlineStr">
        <is>
          <t xml:space="preserve">soft rock excavation using hydraulic excavator </t>
        </is>
      </c>
      <c r="F110" s="9" t="n"/>
      <c r="G110" s="9" t="inlineStr">
        <is>
          <t>soft rock</t>
        </is>
      </c>
      <c r="H110" s="9" t="n">
        <v>0.75</v>
      </c>
      <c r="I110" s="9" t="n"/>
      <c r="J110" s="9" t="n">
        <v>0.61</v>
      </c>
      <c r="K110" s="9" t="n"/>
      <c r="L110" s="9" t="n"/>
      <c r="M110" s="9" t="n">
        <v>1.3</v>
      </c>
      <c r="N110" s="9" t="n">
        <v>20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56" t="inlineStr">
        <is>
          <t>Average</t>
        </is>
      </c>
      <c r="C111" s="61" t="n"/>
      <c r="D111" s="61" t="n"/>
      <c r="E111" s="61" t="n"/>
      <c r="F111" s="61" t="n"/>
      <c r="G111" s="61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1:O1"/>
    <mergeCell ref="B9:B10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view="pageBreakPreview" topLeftCell="A13" zoomScale="66" zoomScaleNormal="60" zoomScaleSheetLayoutView="55" zoomScalePageLayoutView="60" workbookViewId="0">
      <selection activeCell="F25" sqref="F25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62" t="n"/>
      <c r="C6" s="57" t="n"/>
      <c r="F6" s="19" t="inlineStr">
        <is>
          <t>Date:</t>
        </is>
      </c>
      <c r="G6" s="53" t="n">
        <v>1</v>
      </c>
    </row>
    <row r="7" ht="27" customHeight="1" thickBot="1"/>
    <row r="8" ht="27" customHeight="1" thickBot="1">
      <c r="A8" s="17" t="inlineStr">
        <is>
          <t>Operation/Activity:</t>
        </is>
      </c>
      <c r="B8" s="62" t="n"/>
      <c r="C8" s="57" t="n"/>
      <c r="F8" s="19" t="inlineStr">
        <is>
          <t>Unit of Time:</t>
        </is>
      </c>
      <c r="G8" s="53" t="inlineStr">
        <is>
          <t>Seconds</t>
        </is>
      </c>
    </row>
    <row r="9" ht="27" customHeight="1" thickBot="1">
      <c r="A9" s="17" t="inlineStr">
        <is>
          <t>Equipment Type:</t>
        </is>
      </c>
      <c r="B9" s="62" t="n"/>
      <c r="C9" s="57" t="n"/>
    </row>
    <row r="10" ht="15" customHeight="1" thickBot="1">
      <c r="A10" s="20" t="n"/>
      <c r="B10" s="20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1" t="n"/>
      <c r="J11" s="51" t="n"/>
      <c r="K11" s="51" t="n"/>
      <c r="L11" s="51" t="n"/>
      <c r="M11" s="21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26</v>
      </c>
      <c r="C13" s="54">
        <f>IF(SUM($V13:$AA13), ROUND(V13/SUM($V13:$AA13), 2),0)</f>
        <v/>
      </c>
      <c r="D13" s="54">
        <f>IF(SUM($V13:$AA13), ROUND(W13/SUM($V13:$AA13), 2),0)</f>
        <v/>
      </c>
      <c r="E13" s="54">
        <f>IF(SUM($V13:$AA13), ROUND(X13/SUM($V13:$AA13), 2),0)</f>
        <v/>
      </c>
      <c r="F13" s="54">
        <f>IF(SUM($V13:$AA13), ROUND(Y13/SUM($V13:$AA13), 2),0)</f>
        <v/>
      </c>
      <c r="G13" s="54">
        <f>IF(SUM($V13:$AA13), ROUND(Z13/SUM($V13:$AA13), 2),0)</f>
        <v/>
      </c>
      <c r="H13" s="54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24</v>
      </c>
      <c r="C14" s="54">
        <f>IF(SUM($V14:$AA14), ROUND(V14/SUM($V14:$AA14), 2),0)</f>
        <v/>
      </c>
      <c r="D14" s="54">
        <f>IF(SUM($V14:$AA14), ROUND(W14/SUM($V14:$AA14), 2),0)</f>
        <v/>
      </c>
      <c r="E14" s="54">
        <f>IF(SUM($V14:$AA14), ROUND(X14/SUM($V14:$AA14), 2),0)</f>
        <v/>
      </c>
      <c r="F14" s="54">
        <f>IF(SUM($V14:$AA14), ROUND(Y14/SUM($V14:$AA14), 2),0)</f>
        <v/>
      </c>
      <c r="G14" s="54">
        <f>IF(SUM($V14:$AA14), ROUND(Z14/SUM($V14:$AA14), 2),0)</f>
        <v/>
      </c>
      <c r="H14" s="54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25</v>
      </c>
      <c r="C15" s="54">
        <f>IF(SUM($V15:$AA15), ROUND(V15/SUM($V15:$AA15), 2),0)</f>
        <v/>
      </c>
      <c r="D15" s="54">
        <f>IF(SUM($V15:$AA15), ROUND(W15/SUM($V15:$AA15), 2),0)</f>
        <v/>
      </c>
      <c r="E15" s="54">
        <f>IF(SUM($V15:$AA15), ROUND(X15/SUM($V15:$AA15), 2),0)</f>
        <v/>
      </c>
      <c r="F15" s="54">
        <f>IF(SUM($V15:$AA15), ROUND(Y15/SUM($V15:$AA15), 2),0)</f>
        <v/>
      </c>
      <c r="G15" s="54">
        <f>IF(SUM($V15:$AA15), ROUND(Z15/SUM($V15:$AA15), 2),0)</f>
        <v/>
      </c>
      <c r="H15" s="54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26</v>
      </c>
      <c r="C16" s="54">
        <f>IF(SUM($V16:$AA16), ROUND(V16/SUM($V16:$AA16), 2),0)</f>
        <v/>
      </c>
      <c r="D16" s="54">
        <f>IF(SUM($V16:$AA16), ROUND(W16/SUM($V16:$AA16), 2),0)</f>
        <v/>
      </c>
      <c r="E16" s="54">
        <f>IF(SUM($V16:$AA16), ROUND(X16/SUM($V16:$AA16), 2),0)</f>
        <v/>
      </c>
      <c r="F16" s="54">
        <f>IF(SUM($V16:$AA16), ROUND(Y16/SUM($V16:$AA16), 2),0)</f>
        <v/>
      </c>
      <c r="G16" s="54">
        <f>IF(SUM($V16:$AA16), ROUND(Z16/SUM($V16:$AA16), 2),0)</f>
        <v/>
      </c>
      <c r="H16" s="54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19</v>
      </c>
      <c r="C17" s="54">
        <f>IF(SUM($V17:$AA17), ROUND(V17/SUM($V17:$AA17), 2),0)</f>
        <v/>
      </c>
      <c r="D17" s="54">
        <f>IF(SUM($V17:$AA17), ROUND(W17/SUM($V17:$AA17), 2),0)</f>
        <v/>
      </c>
      <c r="E17" s="54">
        <f>IF(SUM($V17:$AA17), ROUND(X17/SUM($V17:$AA17), 2),0)</f>
        <v/>
      </c>
      <c r="F17" s="54">
        <f>IF(SUM($V17:$AA17), ROUND(Y17/SUM($V17:$AA17), 2),0)</f>
        <v/>
      </c>
      <c r="G17" s="54">
        <f>IF(SUM($V17:$AA17), ROUND(Z17/SUM($V17:$AA17), 2),0)</f>
        <v/>
      </c>
      <c r="H17" s="54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20</v>
      </c>
      <c r="C18" s="54">
        <f>IF(SUM($V18:$AA18), ROUND(V18/SUM($V18:$AA18), 2),0)</f>
        <v/>
      </c>
      <c r="D18" s="54">
        <f>IF(SUM($V18:$AA18), ROUND(W18/SUM($V18:$AA18), 2),0)</f>
        <v/>
      </c>
      <c r="E18" s="54">
        <f>IF(SUM($V18:$AA18), ROUND(X18/SUM($V18:$AA18), 2),0)</f>
        <v/>
      </c>
      <c r="F18" s="54">
        <f>IF(SUM($V18:$AA18), ROUND(Y18/SUM($V18:$AA18), 2),0)</f>
        <v/>
      </c>
      <c r="G18" s="54">
        <f>IF(SUM($V18:$AA18), ROUND(Z18/SUM($V18:$AA18), 2),0)</f>
        <v/>
      </c>
      <c r="H18" s="54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22</v>
      </c>
      <c r="C19" s="54">
        <f>IF(SUM($V19:$AA19), ROUND(V19/SUM($V19:$AA19), 2),0)</f>
        <v/>
      </c>
      <c r="D19" s="54">
        <f>IF(SUM($V19:$AA19), ROUND(W19/SUM($V19:$AA19), 2),0)</f>
        <v/>
      </c>
      <c r="E19" s="54">
        <f>IF(SUM($V19:$AA19), ROUND(X19/SUM($V19:$AA19), 2),0)</f>
        <v/>
      </c>
      <c r="F19" s="54">
        <f>IF(SUM($V19:$AA19), ROUND(Y19/SUM($V19:$AA19), 2),0)</f>
        <v/>
      </c>
      <c r="G19" s="54">
        <f>IF(SUM($V19:$AA19), ROUND(Z19/SUM($V19:$AA19), 2),0)</f>
        <v/>
      </c>
      <c r="H19" s="54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17</v>
      </c>
      <c r="C20" s="54">
        <f>IF(SUM($V20:$AA20), ROUND(V20/SUM($V20:$AA20), 2),0)</f>
        <v/>
      </c>
      <c r="D20" s="54">
        <f>IF(SUM($V20:$AA20), ROUND(W20/SUM($V20:$AA20), 2),0)</f>
        <v/>
      </c>
      <c r="E20" s="54">
        <f>IF(SUM($V20:$AA20), ROUND(X20/SUM($V20:$AA20), 2),0)</f>
        <v/>
      </c>
      <c r="F20" s="54">
        <f>IF(SUM($V20:$AA20), ROUND(Y20/SUM($V20:$AA20), 2),0)</f>
        <v/>
      </c>
      <c r="G20" s="54">
        <f>IF(SUM($V20:$AA20), ROUND(Z20/SUM($V20:$AA20), 2),0)</f>
        <v/>
      </c>
      <c r="H20" s="54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31</v>
      </c>
      <c r="C21" s="54">
        <f>IF(SUM($V21:$AA21), ROUND(V21/SUM($V21:$AA21), 2),0)</f>
        <v/>
      </c>
      <c r="D21" s="54">
        <f>IF(SUM($V21:$AA21), ROUND(W21/SUM($V21:$AA21), 2),0)</f>
        <v/>
      </c>
      <c r="E21" s="54">
        <f>IF(SUM($V21:$AA21), ROUND(X21/SUM($V21:$AA21), 2),0)</f>
        <v/>
      </c>
      <c r="F21" s="54">
        <f>IF(SUM($V21:$AA21), ROUND(Y21/SUM($V21:$AA21), 2),0)</f>
        <v/>
      </c>
      <c r="G21" s="54">
        <f>IF(SUM($V21:$AA21), ROUND(Z21/SUM($V21:$AA21), 2),0)</f>
        <v/>
      </c>
      <c r="H21" s="54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27</v>
      </c>
      <c r="C22" s="54">
        <f>IF(SUM($V22:$AA22), ROUND(V22/SUM($V22:$AA22), 2),0)</f>
        <v/>
      </c>
      <c r="D22" s="54">
        <f>IF(SUM($V22:$AA22), ROUND(W22/SUM($V22:$AA22), 2),0)</f>
        <v/>
      </c>
      <c r="E22" s="54">
        <f>IF(SUM($V22:$AA22), ROUND(X22/SUM($V22:$AA22), 2),0)</f>
        <v/>
      </c>
      <c r="F22" s="54">
        <f>IF(SUM($V22:$AA22), ROUND(Y22/SUM($V22:$AA22), 2),0)</f>
        <v/>
      </c>
      <c r="G22" s="54">
        <f>IF(SUM($V22:$AA22), ROUND(Z22/SUM($V22:$AA22), 2),0)</f>
        <v/>
      </c>
      <c r="H22" s="54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25</v>
      </c>
      <c r="C23" s="54">
        <f>IF(SUM($V23:$AA23), ROUND(V23/SUM($V23:$AA23), 2),0)</f>
        <v/>
      </c>
      <c r="D23" s="54">
        <f>IF(SUM($V23:$AA23), ROUND(W23/SUM($V23:$AA23), 2),0)</f>
        <v/>
      </c>
      <c r="E23" s="54">
        <f>IF(SUM($V23:$AA23), ROUND(X23/SUM($V23:$AA23), 2),0)</f>
        <v/>
      </c>
      <c r="F23" s="54">
        <f>IF(SUM($V23:$AA23), ROUND(Y23/SUM($V23:$AA23), 2),0)</f>
        <v/>
      </c>
      <c r="G23" s="54">
        <f>IF(SUM($V23:$AA23), ROUND(Z23/SUM($V23:$AA23), 2),0)</f>
        <v/>
      </c>
      <c r="H23" s="54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26</v>
      </c>
      <c r="C24" s="54">
        <f>IF(SUM($V24:$AA24), ROUND(V24/SUM($V24:$AA24), 2),0)</f>
        <v/>
      </c>
      <c r="D24" s="54">
        <f>IF(SUM($V24:$AA24), ROUND(W24/SUM($V24:$AA24), 2),0)</f>
        <v/>
      </c>
      <c r="E24" s="54">
        <f>IF(SUM($V24:$AA24), ROUND(X24/SUM($V24:$AA24), 2),0)</f>
        <v/>
      </c>
      <c r="F24" s="54">
        <f>IF(SUM($V24:$AA24), ROUND(Y24/SUM($V24:$AA24), 2),0)</f>
        <v/>
      </c>
      <c r="G24" s="54">
        <f>IF(SUM($V24:$AA24), ROUND(Z24/SUM($V24:$AA24), 2),0)</f>
        <v/>
      </c>
      <c r="H24" s="54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312</v>
      </c>
      <c r="C25" s="54">
        <f>IF(SUM($V25:$AA25), ROUND(V25/SUM($V25:$AA25), 2),0)</f>
        <v/>
      </c>
      <c r="D25" s="54">
        <f>IF(SUM($V25:$AA25), ROUND(W25/SUM($V25:$AA25), 2),0)</f>
        <v/>
      </c>
      <c r="E25" s="54">
        <f>IF(SUM($V25:$AA25), ROUND(X25/SUM($V25:$AA25), 2),0)</f>
        <v/>
      </c>
      <c r="F25" s="54">
        <f>IF(SUM($V25:$AA25), ROUND(Y25/SUM($V25:$AA25), 2),0)</f>
        <v/>
      </c>
      <c r="G25" s="54">
        <f>IF(SUM($V25:$AA25), ROUND(Z25/SUM($V25:$AA25), 2),0)</f>
        <v/>
      </c>
      <c r="H25" s="54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>
        <v>281</v>
      </c>
      <c r="AA25" s="25" t="n"/>
    </row>
    <row r="26" ht="33" customHeight="1">
      <c r="A26" s="22" t="n">
        <v>14</v>
      </c>
      <c r="B26" s="26" t="n">
        <v>26</v>
      </c>
      <c r="C26" s="54">
        <f>IF(SUM($V26:$AA26), ROUND(V26/SUM($V26:$AA26), 2),0)</f>
        <v/>
      </c>
      <c r="D26" s="54">
        <f>IF(SUM($V26:$AA26), ROUND(W26/SUM($V26:$AA26), 2),0)</f>
        <v/>
      </c>
      <c r="E26" s="54">
        <f>IF(SUM($V26:$AA26), ROUND(X26/SUM($V26:$AA26), 2),0)</f>
        <v/>
      </c>
      <c r="F26" s="54">
        <f>IF(SUM($V26:$AA26), ROUND(Y26/SUM($V26:$AA26), 2),0)</f>
        <v/>
      </c>
      <c r="G26" s="54">
        <f>IF(SUM($V26:$AA26), ROUND(Z26/SUM($V26:$AA26), 2),0)</f>
        <v/>
      </c>
      <c r="H26" s="54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26</v>
      </c>
      <c r="C27" s="54">
        <f>IF(SUM($V27:$AA27), ROUND(V27/SUM($V27:$AA27), 2),0)</f>
        <v/>
      </c>
      <c r="D27" s="54">
        <f>IF(SUM($V27:$AA27), ROUND(W27/SUM($V27:$AA27), 2),0)</f>
        <v/>
      </c>
      <c r="E27" s="54">
        <f>IF(SUM($V27:$AA27), ROUND(X27/SUM($V27:$AA27), 2),0)</f>
        <v/>
      </c>
      <c r="F27" s="54">
        <f>IF(SUM($V27:$AA27), ROUND(Y27/SUM($V27:$AA27), 2),0)</f>
        <v/>
      </c>
      <c r="G27" s="54">
        <f>IF(SUM($V27:$AA27), ROUND(Z27/SUM($V27:$AA27), 2),0)</f>
        <v/>
      </c>
      <c r="H27" s="54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26</v>
      </c>
      <c r="C28" s="54">
        <f>IF(SUM($V28:$AA28), ROUND(V28/SUM($V28:$AA28), 2),0)</f>
        <v/>
      </c>
      <c r="D28" s="54">
        <f>IF(SUM($V28:$AA28), ROUND(W28/SUM($V28:$AA28), 2),0)</f>
        <v/>
      </c>
      <c r="E28" s="54">
        <f>IF(SUM($V28:$AA28), ROUND(X28/SUM($V28:$AA28), 2),0)</f>
        <v/>
      </c>
      <c r="F28" s="54">
        <f>IF(SUM($V28:$AA28), ROUND(Y28/SUM($V28:$AA28), 2),0)</f>
        <v/>
      </c>
      <c r="G28" s="54">
        <f>IF(SUM($V28:$AA28), ROUND(Z28/SUM($V28:$AA28), 2),0)</f>
        <v/>
      </c>
      <c r="H28" s="54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25</v>
      </c>
      <c r="C29" s="54">
        <f>IF(SUM($V29:$AA29), ROUND(V29/SUM($V29:$AA29), 2),0)</f>
        <v/>
      </c>
      <c r="D29" s="54">
        <f>IF(SUM($V29:$AA29), ROUND(W29/SUM($V29:$AA29), 2),0)</f>
        <v/>
      </c>
      <c r="E29" s="54">
        <f>IF(SUM($V29:$AA29), ROUND(X29/SUM($V29:$AA29), 2),0)</f>
        <v/>
      </c>
      <c r="F29" s="54">
        <f>IF(SUM($V29:$AA29), ROUND(Y29/SUM($V29:$AA29), 2),0)</f>
        <v/>
      </c>
      <c r="G29" s="54">
        <f>IF(SUM($V29:$AA29), ROUND(Z29/SUM($V29:$AA29), 2),0)</f>
        <v/>
      </c>
      <c r="H29" s="54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24</v>
      </c>
      <c r="C30" s="54">
        <f>IF(SUM($V30:$AA30), ROUND(V30/SUM($V30:$AA30), 2),0)</f>
        <v/>
      </c>
      <c r="D30" s="54">
        <f>IF(SUM($V30:$AA30), ROUND(W30/SUM($V30:$AA30), 2),0)</f>
        <v/>
      </c>
      <c r="E30" s="54">
        <f>IF(SUM($V30:$AA30), ROUND(X30/SUM($V30:$AA30), 2),0)</f>
        <v/>
      </c>
      <c r="F30" s="54">
        <f>IF(SUM($V30:$AA30), ROUND(Y30/SUM($V30:$AA30), 2),0)</f>
        <v/>
      </c>
      <c r="G30" s="54">
        <f>IF(SUM($V30:$AA30), ROUND(Z30/SUM($V30:$AA30), 2),0)</f>
        <v/>
      </c>
      <c r="H30" s="54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26</v>
      </c>
      <c r="C31" s="54">
        <f>IF(SUM($V31:$AA31), ROUND(V31/SUM($V31:$AA31), 2),0)</f>
        <v/>
      </c>
      <c r="D31" s="54">
        <f>IF(SUM($V31:$AA31), ROUND(W31/SUM($V31:$AA31), 2),0)</f>
        <v/>
      </c>
      <c r="E31" s="54">
        <f>IF(SUM($V31:$AA31), ROUND(X31/SUM($V31:$AA31), 2),0)</f>
        <v/>
      </c>
      <c r="F31" s="54">
        <f>IF(SUM($V31:$AA31), ROUND(Y31/SUM($V31:$AA31), 2),0)</f>
        <v/>
      </c>
      <c r="G31" s="54">
        <f>IF(SUM($V31:$AA31), ROUND(Z31/SUM($V31:$AA31), 2),0)</f>
        <v/>
      </c>
      <c r="H31" s="54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29</v>
      </c>
      <c r="C32" s="54">
        <f>IF(SUM($V32:$AA32), ROUND(V32/SUM($V32:$AA32), 2),0)</f>
        <v/>
      </c>
      <c r="D32" s="54">
        <f>IF(SUM($V32:$AA32), ROUND(W32/SUM($V32:$AA32), 2),0)</f>
        <v/>
      </c>
      <c r="E32" s="54">
        <f>IF(SUM($V32:$AA32), ROUND(X32/SUM($V32:$AA32), 2),0)</f>
        <v/>
      </c>
      <c r="F32" s="54">
        <f>IF(SUM($V32:$AA32), ROUND(Y32/SUM($V32:$AA32), 2),0)</f>
        <v/>
      </c>
      <c r="G32" s="54">
        <f>IF(SUM($V32:$AA32), ROUND(Z32/SUM($V32:$AA32), 2),0)</f>
        <v/>
      </c>
      <c r="H32" s="54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27</v>
      </c>
      <c r="C33" s="54">
        <f>IF(SUM($V33:$AA33), ROUND(V33/SUM($V33:$AA33), 2),0)</f>
        <v/>
      </c>
      <c r="D33" s="54">
        <f>IF(SUM($V33:$AA33), ROUND(W33/SUM($V33:$AA33), 2),0)</f>
        <v/>
      </c>
      <c r="E33" s="54">
        <f>IF(SUM($V33:$AA33), ROUND(X33/SUM($V33:$AA33), 2),0)</f>
        <v/>
      </c>
      <c r="F33" s="54">
        <f>IF(SUM($V33:$AA33), ROUND(Y33/SUM($V33:$AA33), 2),0)</f>
        <v/>
      </c>
      <c r="G33" s="54">
        <f>IF(SUM($V33:$AA33), ROUND(Z33/SUM($V33:$AA33), 2),0)</f>
        <v/>
      </c>
      <c r="H33" s="54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25</v>
      </c>
      <c r="C34" s="54">
        <f>IF(SUM($V34:$AA34), ROUND(V34/SUM($V34:$AA34), 2),0)</f>
        <v/>
      </c>
      <c r="D34" s="54">
        <f>IF(SUM($V34:$AA34), ROUND(W34/SUM($V34:$AA34), 2),0)</f>
        <v/>
      </c>
      <c r="E34" s="54">
        <f>IF(SUM($V34:$AA34), ROUND(X34/SUM($V34:$AA34), 2),0)</f>
        <v/>
      </c>
      <c r="F34" s="54">
        <f>IF(SUM($V34:$AA34), ROUND(Y34/SUM($V34:$AA34), 2),0)</f>
        <v/>
      </c>
      <c r="G34" s="54">
        <f>IF(SUM($V34:$AA34), ROUND(Z34/SUM($V34:$AA34), 2),0)</f>
        <v/>
      </c>
      <c r="H34" s="54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>
        <v>26</v>
      </c>
      <c r="C35" s="54">
        <f>IF(SUM($V35:$AA35), ROUND(V35/SUM($V35:$AA35), 2),0)</f>
        <v/>
      </c>
      <c r="D35" s="54">
        <f>IF(SUM($V35:$AA35), ROUND(W35/SUM($V35:$AA35), 2),0)</f>
        <v/>
      </c>
      <c r="E35" s="54">
        <f>IF(SUM($V35:$AA35), ROUND(X35/SUM($V35:$AA35), 2),0)</f>
        <v/>
      </c>
      <c r="F35" s="54">
        <f>IF(SUM($V35:$AA35), ROUND(Y35/SUM($V35:$AA35), 2),0)</f>
        <v/>
      </c>
      <c r="G35" s="54">
        <f>IF(SUM($V35:$AA35), ROUND(Z35/SUM($V35:$AA35), 2),0)</f>
        <v/>
      </c>
      <c r="H35" s="54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99</v>
      </c>
      <c r="C36" s="54">
        <f>IF(SUM($V36:$AA36), ROUND(V36/SUM($V36:$AA36), 2),0)</f>
        <v/>
      </c>
      <c r="D36" s="54">
        <f>IF(SUM($V36:$AA36), ROUND(W36/SUM($V36:$AA36), 2),0)</f>
        <v/>
      </c>
      <c r="E36" s="54">
        <f>IF(SUM($V36:$AA36), ROUND(X36/SUM($V36:$AA36), 2),0)</f>
        <v/>
      </c>
      <c r="F36" s="54">
        <f>IF(SUM($V36:$AA36), ROUND(Y36/SUM($V36:$AA36), 2),0)</f>
        <v/>
      </c>
      <c r="G36" s="54">
        <f>IF(SUM($V36:$AA36), ROUND(Z36/SUM($V36:$AA36), 2),0)</f>
        <v/>
      </c>
      <c r="H36" s="54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30</v>
      </c>
      <c r="C37" s="54">
        <f>IF(SUM($V37:$AA37), ROUND(V37/SUM($V37:$AA37), 2),0)</f>
        <v/>
      </c>
      <c r="D37" s="54">
        <f>IF(SUM($V37:$AA37), ROUND(W37/SUM($V37:$AA37), 2),0)</f>
        <v/>
      </c>
      <c r="E37" s="54">
        <f>IF(SUM($V37:$AA37), ROUND(X37/SUM($V37:$AA37), 2),0)</f>
        <v/>
      </c>
      <c r="F37" s="54">
        <f>IF(SUM($V37:$AA37), ROUND(Y37/SUM($V37:$AA37), 2),0)</f>
        <v/>
      </c>
      <c r="G37" s="54">
        <f>IF(SUM($V37:$AA37), ROUND(Z37/SUM($V37:$AA37), 2),0)</f>
        <v/>
      </c>
      <c r="H37" s="54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21</v>
      </c>
      <c r="C38" s="54">
        <f>IF(SUM($V38:$AA38), ROUND(V38/SUM($V38:$AA38), 2),0)</f>
        <v/>
      </c>
      <c r="D38" s="54">
        <f>IF(SUM($V38:$AA38), ROUND(W38/SUM($V38:$AA38), 2),0)</f>
        <v/>
      </c>
      <c r="E38" s="54">
        <f>IF(SUM($V38:$AA38), ROUND(X38/SUM($V38:$AA38), 2),0)</f>
        <v/>
      </c>
      <c r="F38" s="54">
        <f>IF(SUM($V38:$AA38), ROUND(Y38/SUM($V38:$AA38), 2),0)</f>
        <v/>
      </c>
      <c r="G38" s="54">
        <f>IF(SUM($V38:$AA38), ROUND(Z38/SUM($V38:$AA38), 2),0)</f>
        <v/>
      </c>
      <c r="H38" s="54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20</v>
      </c>
      <c r="C39" s="54">
        <f>IF(SUM($V39:$AA39), ROUND(V39/SUM($V39:$AA39), 2),0)</f>
        <v/>
      </c>
      <c r="D39" s="54">
        <f>IF(SUM($V39:$AA39), ROUND(W39/SUM($V39:$AA39), 2),0)</f>
        <v/>
      </c>
      <c r="E39" s="54">
        <f>IF(SUM($V39:$AA39), ROUND(X39/SUM($V39:$AA39), 2),0)</f>
        <v/>
      </c>
      <c r="F39" s="54">
        <f>IF(SUM($V39:$AA39), ROUND(Y39/SUM($V39:$AA39), 2),0)</f>
        <v/>
      </c>
      <c r="G39" s="54">
        <f>IF(SUM($V39:$AA39), ROUND(Z39/SUM($V39:$AA39), 2),0)</f>
        <v/>
      </c>
      <c r="H39" s="54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19</v>
      </c>
      <c r="C40" s="54">
        <f>IF(SUM($V40:$AA40), ROUND(V40/SUM($V40:$AA40), 2),0)</f>
        <v/>
      </c>
      <c r="D40" s="54">
        <f>IF(SUM($V40:$AA40), ROUND(W40/SUM($V40:$AA40), 2),0)</f>
        <v/>
      </c>
      <c r="E40" s="54">
        <f>IF(SUM($V40:$AA40), ROUND(X40/SUM($V40:$AA40), 2),0)</f>
        <v/>
      </c>
      <c r="F40" s="54">
        <f>IF(SUM($V40:$AA40), ROUND(Y40/SUM($V40:$AA40), 2),0)</f>
        <v/>
      </c>
      <c r="G40" s="54">
        <f>IF(SUM($V40:$AA40), ROUND(Z40/SUM($V40:$AA40), 2),0)</f>
        <v/>
      </c>
      <c r="H40" s="54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>
        <v>18</v>
      </c>
      <c r="C41" s="54">
        <f>IF(SUM($V41:$AA41), ROUND(V41/SUM($V41:$AA41), 2),0)</f>
        <v/>
      </c>
      <c r="D41" s="54">
        <f>IF(SUM($V41:$AA41), ROUND(W41/SUM($V41:$AA41), 2),0)</f>
        <v/>
      </c>
      <c r="E41" s="54">
        <f>IF(SUM($V41:$AA41), ROUND(X41/SUM($V41:$AA41), 2),0)</f>
        <v/>
      </c>
      <c r="F41" s="54">
        <f>IF(SUM($V41:$AA41), ROUND(Y41/SUM($V41:$AA41), 2),0)</f>
        <v/>
      </c>
      <c r="G41" s="54">
        <f>IF(SUM($V41:$AA41), ROUND(Z41/SUM($V41:$AA41), 2),0)</f>
        <v/>
      </c>
      <c r="H41" s="54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>
        <v>32</v>
      </c>
      <c r="C42" s="54">
        <f>IF(SUM($V42:$AA42), ROUND(V42/SUM($V42:$AA42), 2),0)</f>
        <v/>
      </c>
      <c r="D42" s="54">
        <f>IF(SUM($V42:$AA42), ROUND(W42/SUM($V42:$AA42), 2),0)</f>
        <v/>
      </c>
      <c r="E42" s="54">
        <f>IF(SUM($V42:$AA42), ROUND(X42/SUM($V42:$AA42), 2),0)</f>
        <v/>
      </c>
      <c r="F42" s="54">
        <f>IF(SUM($V42:$AA42), ROUND(Y42/SUM($V42:$AA42), 2),0)</f>
        <v/>
      </c>
      <c r="G42" s="54">
        <f>IF(SUM($V42:$AA42), ROUND(Z42/SUM($V42:$AA42), 2),0)</f>
        <v/>
      </c>
      <c r="H42" s="54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>
        <v>37</v>
      </c>
      <c r="C43" s="54">
        <f>IF(SUM($V43:$AA43), ROUND(V43/SUM($V43:$AA43), 2),0)</f>
        <v/>
      </c>
      <c r="D43" s="54">
        <f>IF(SUM($V43:$AA43), ROUND(W43/SUM($V43:$AA43), 2),0)</f>
        <v/>
      </c>
      <c r="E43" s="54">
        <f>IF(SUM($V43:$AA43), ROUND(X43/SUM($V43:$AA43), 2),0)</f>
        <v/>
      </c>
      <c r="F43" s="54">
        <f>IF(SUM($V43:$AA43), ROUND(Y43/SUM($V43:$AA43), 2),0)</f>
        <v/>
      </c>
      <c r="G43" s="54">
        <f>IF(SUM($V43:$AA43), ROUND(Z43/SUM($V43:$AA43), 2),0)</f>
        <v/>
      </c>
      <c r="H43" s="54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>
        <v>28</v>
      </c>
      <c r="C44" s="54">
        <f>IF(SUM($V44:$AA44), ROUND(V44/SUM($V44:$AA44), 2),0)</f>
        <v/>
      </c>
      <c r="D44" s="54">
        <f>IF(SUM($V44:$AA44), ROUND(W44/SUM($V44:$AA44), 2),0)</f>
        <v/>
      </c>
      <c r="E44" s="54">
        <f>IF(SUM($V44:$AA44), ROUND(X44/SUM($V44:$AA44), 2),0)</f>
        <v/>
      </c>
      <c r="F44" s="54">
        <f>IF(SUM($V44:$AA44), ROUND(Y44/SUM($V44:$AA44), 2),0)</f>
        <v/>
      </c>
      <c r="G44" s="54">
        <f>IF(SUM($V44:$AA44), ROUND(Z44/SUM($V44:$AA44), 2),0)</f>
        <v/>
      </c>
      <c r="H44" s="54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>
        <v>29</v>
      </c>
      <c r="C45" s="54">
        <f>IF(SUM($V45:$AA45), ROUND(V45/SUM($V45:$AA45), 2),0)</f>
        <v/>
      </c>
      <c r="D45" s="54">
        <f>IF(SUM($V45:$AA45), ROUND(W45/SUM($V45:$AA45), 2),0)</f>
        <v/>
      </c>
      <c r="E45" s="54">
        <f>IF(SUM($V45:$AA45), ROUND(X45/SUM($V45:$AA45), 2),0)</f>
        <v/>
      </c>
      <c r="F45" s="54">
        <f>IF(SUM($V45:$AA45), ROUND(Y45/SUM($V45:$AA45), 2),0)</f>
        <v/>
      </c>
      <c r="G45" s="54">
        <f>IF(SUM($V45:$AA45), ROUND(Z45/SUM($V45:$AA45), 2),0)</f>
        <v/>
      </c>
      <c r="H45" s="54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>
        <v>30</v>
      </c>
      <c r="C46" s="54">
        <f>IF(SUM($V46:$AA46), ROUND(V46/SUM($V46:$AA46), 2),0)</f>
        <v/>
      </c>
      <c r="D46" s="54">
        <f>IF(SUM($V46:$AA46), ROUND(W46/SUM($V46:$AA46), 2),0)</f>
        <v/>
      </c>
      <c r="E46" s="54">
        <f>IF(SUM($V46:$AA46), ROUND(X46/SUM($V46:$AA46), 2),0)</f>
        <v/>
      </c>
      <c r="F46" s="54">
        <f>IF(SUM($V46:$AA46), ROUND(Y46/SUM($V46:$AA46), 2),0)</f>
        <v/>
      </c>
      <c r="G46" s="54">
        <f>IF(SUM($V46:$AA46), ROUND(Z46/SUM($V46:$AA46), 2),0)</f>
        <v/>
      </c>
      <c r="H46" s="54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>
        <v>27</v>
      </c>
      <c r="C47" s="54">
        <f>IF(SUM($V47:$AA47), ROUND(V47/SUM($V47:$AA47), 2),0)</f>
        <v/>
      </c>
      <c r="D47" s="54">
        <f>IF(SUM($V47:$AA47), ROUND(W47/SUM($V47:$AA47), 2),0)</f>
        <v/>
      </c>
      <c r="E47" s="54">
        <f>IF(SUM($V47:$AA47), ROUND(X47/SUM($V47:$AA47), 2),0)</f>
        <v/>
      </c>
      <c r="F47" s="54">
        <f>IF(SUM($V47:$AA47), ROUND(Y47/SUM($V47:$AA47), 2),0)</f>
        <v/>
      </c>
      <c r="G47" s="54">
        <f>IF(SUM($V47:$AA47), ROUND(Z47/SUM($V47:$AA47), 2),0)</f>
        <v/>
      </c>
      <c r="H47" s="54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>
        <v>25</v>
      </c>
      <c r="C48" s="54">
        <f>IF(SUM($V48:$AA48), ROUND(V48/SUM($V48:$AA48), 2),0)</f>
        <v/>
      </c>
      <c r="D48" s="54">
        <f>IF(SUM($V48:$AA48), ROUND(W48/SUM($V48:$AA48), 2),0)</f>
        <v/>
      </c>
      <c r="E48" s="54">
        <f>IF(SUM($V48:$AA48), ROUND(X48/SUM($V48:$AA48), 2),0)</f>
        <v/>
      </c>
      <c r="F48" s="54">
        <f>IF(SUM($V48:$AA48), ROUND(Y48/SUM($V48:$AA48), 2),0)</f>
        <v/>
      </c>
      <c r="G48" s="54">
        <f>IF(SUM($V48:$AA48), ROUND(Z48/SUM($V48:$AA48), 2),0)</f>
        <v/>
      </c>
      <c r="H48" s="54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>
        <v>26</v>
      </c>
      <c r="C49" s="54">
        <f>IF(SUM($V49:$AA49), ROUND(V49/SUM($V49:$AA49), 2),0)</f>
        <v/>
      </c>
      <c r="D49" s="54">
        <f>IF(SUM($V49:$AA49), ROUND(W49/SUM($V49:$AA49), 2),0)</f>
        <v/>
      </c>
      <c r="E49" s="54">
        <f>IF(SUM($V49:$AA49), ROUND(X49/SUM($V49:$AA49), 2),0)</f>
        <v/>
      </c>
      <c r="F49" s="54">
        <f>IF(SUM($V49:$AA49), ROUND(Y49/SUM($V49:$AA49), 2),0)</f>
        <v/>
      </c>
      <c r="G49" s="54">
        <f>IF(SUM($V49:$AA49), ROUND(Z49/SUM($V49:$AA49), 2),0)</f>
        <v/>
      </c>
      <c r="H49" s="54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>
        <v>27</v>
      </c>
      <c r="C50" s="54">
        <f>IF(SUM($V50:$AA50), ROUND(V50/SUM($V50:$AA50), 2),0)</f>
        <v/>
      </c>
      <c r="D50" s="54">
        <f>IF(SUM($V50:$AA50), ROUND(W50/SUM($V50:$AA50), 2),0)</f>
        <v/>
      </c>
      <c r="E50" s="54">
        <f>IF(SUM($V50:$AA50), ROUND(X50/SUM($V50:$AA50), 2),0)</f>
        <v/>
      </c>
      <c r="F50" s="54">
        <f>IF(SUM($V50:$AA50), ROUND(Y50/SUM($V50:$AA50), 2),0)</f>
        <v/>
      </c>
      <c r="G50" s="54">
        <f>IF(SUM($V50:$AA50), ROUND(Z50/SUM($V50:$AA50), 2),0)</f>
        <v/>
      </c>
      <c r="H50" s="54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>
        <v>106</v>
      </c>
      <c r="C51" s="54">
        <f>IF(SUM($V51:$AA51), ROUND(V51/SUM($V51:$AA51), 2),0)</f>
        <v/>
      </c>
      <c r="D51" s="54">
        <f>IF(SUM($V51:$AA51), ROUND(W51/SUM($V51:$AA51), 2),0)</f>
        <v/>
      </c>
      <c r="E51" s="54">
        <f>IF(SUM($V51:$AA51), ROUND(X51/SUM($V51:$AA51), 2),0)</f>
        <v/>
      </c>
      <c r="F51" s="54">
        <f>IF(SUM($V51:$AA51), ROUND(Y51/SUM($V51:$AA51), 2),0)</f>
        <v/>
      </c>
      <c r="G51" s="54">
        <f>IF(SUM($V51:$AA51), ROUND(Z51/SUM($V51:$AA51), 2),0)</f>
        <v/>
      </c>
      <c r="H51" s="54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>
        <v>25</v>
      </c>
      <c r="C52" s="54">
        <f>IF(SUM($V52:$AA52), ROUND(V52/SUM($V52:$AA52), 2),0)</f>
        <v/>
      </c>
      <c r="D52" s="54">
        <f>IF(SUM($V52:$AA52), ROUND(W52/SUM($V52:$AA52), 2),0)</f>
        <v/>
      </c>
      <c r="E52" s="54">
        <f>IF(SUM($V52:$AA52), ROUND(X52/SUM($V52:$AA52), 2),0)</f>
        <v/>
      </c>
      <c r="F52" s="54">
        <f>IF(SUM($V52:$AA52), ROUND(Y52/SUM($V52:$AA52), 2),0)</f>
        <v/>
      </c>
      <c r="G52" s="54">
        <f>IF(SUM($V52:$AA52), ROUND(Z52/SUM($V52:$AA52), 2),0)</f>
        <v/>
      </c>
      <c r="H52" s="54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>
        <v>25</v>
      </c>
      <c r="C53" s="54">
        <f>IF(SUM($V53:$AA53), ROUND(V53/SUM($V53:$AA53), 2),0)</f>
        <v/>
      </c>
      <c r="D53" s="54">
        <f>IF(SUM($V53:$AA53), ROUND(W53/SUM($V53:$AA53), 2),0)</f>
        <v/>
      </c>
      <c r="E53" s="54">
        <f>IF(SUM($V53:$AA53), ROUND(X53/SUM($V53:$AA53), 2),0)</f>
        <v/>
      </c>
      <c r="F53" s="54">
        <f>IF(SUM($V53:$AA53), ROUND(Y53/SUM($V53:$AA53), 2),0)</f>
        <v/>
      </c>
      <c r="G53" s="54">
        <f>IF(SUM($V53:$AA53), ROUND(Z53/SUM($V53:$AA53), 2),0)</f>
        <v/>
      </c>
      <c r="H53" s="54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>
        <v>26</v>
      </c>
      <c r="C54" s="54">
        <f>IF(SUM($V54:$AA54), ROUND(V54/SUM($V54:$AA54), 2),0)</f>
        <v/>
      </c>
      <c r="D54" s="54">
        <f>IF(SUM($V54:$AA54), ROUND(W54/SUM($V54:$AA54), 2),0)</f>
        <v/>
      </c>
      <c r="E54" s="54">
        <f>IF(SUM($V54:$AA54), ROUND(X54/SUM($V54:$AA54), 2),0)</f>
        <v/>
      </c>
      <c r="F54" s="54">
        <f>IF(SUM($V54:$AA54), ROUND(Y54/SUM($V54:$AA54), 2),0)</f>
        <v/>
      </c>
      <c r="G54" s="54">
        <f>IF(SUM($V54:$AA54), ROUND(Z54/SUM($V54:$AA54), 2),0)</f>
        <v/>
      </c>
      <c r="H54" s="54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>
        <v>32</v>
      </c>
      <c r="C55" s="54">
        <f>IF(SUM($V55:$AA55), ROUND(V55/SUM($V55:$AA55), 2),0)</f>
        <v/>
      </c>
      <c r="D55" s="54">
        <f>IF(SUM($V55:$AA55), ROUND(W55/SUM($V55:$AA55), 2),0)</f>
        <v/>
      </c>
      <c r="E55" s="54">
        <f>IF(SUM($V55:$AA55), ROUND(X55/SUM($V55:$AA55), 2),0)</f>
        <v/>
      </c>
      <c r="F55" s="54">
        <f>IF(SUM($V55:$AA55), ROUND(Y55/SUM($V55:$AA55), 2),0)</f>
        <v/>
      </c>
      <c r="G55" s="54">
        <f>IF(SUM($V55:$AA55), ROUND(Z55/SUM($V55:$AA55), 2),0)</f>
        <v/>
      </c>
      <c r="H55" s="54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>
        <v>29</v>
      </c>
      <c r="C56" s="54">
        <f>IF(SUM($V56:$AA56), ROUND(V56/SUM($V56:$AA56), 2),0)</f>
        <v/>
      </c>
      <c r="D56" s="54">
        <f>IF(SUM($V56:$AA56), ROUND(W56/SUM($V56:$AA56), 2),0)</f>
        <v/>
      </c>
      <c r="E56" s="54">
        <f>IF(SUM($V56:$AA56), ROUND(X56/SUM($V56:$AA56), 2),0)</f>
        <v/>
      </c>
      <c r="F56" s="54">
        <f>IF(SUM($V56:$AA56), ROUND(Y56/SUM($V56:$AA56), 2),0)</f>
        <v/>
      </c>
      <c r="G56" s="54">
        <f>IF(SUM($V56:$AA56), ROUND(Z56/SUM($V56:$AA56), 2),0)</f>
        <v/>
      </c>
      <c r="H56" s="54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>
        <v>30</v>
      </c>
      <c r="C57" s="54">
        <f>IF(SUM($V57:$AA57), ROUND(V57/SUM($V57:$AA57), 2),0)</f>
        <v/>
      </c>
      <c r="D57" s="54">
        <f>IF(SUM($V57:$AA57), ROUND(W57/SUM($V57:$AA57), 2),0)</f>
        <v/>
      </c>
      <c r="E57" s="54">
        <f>IF(SUM($V57:$AA57), ROUND(X57/SUM($V57:$AA57), 2),0)</f>
        <v/>
      </c>
      <c r="F57" s="54">
        <f>IF(SUM($V57:$AA57), ROUND(Y57/SUM($V57:$AA57), 2),0)</f>
        <v/>
      </c>
      <c r="G57" s="54">
        <f>IF(SUM($V57:$AA57), ROUND(Z57/SUM($V57:$AA57), 2),0)</f>
        <v/>
      </c>
      <c r="H57" s="54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>
        <v>29</v>
      </c>
      <c r="C58" s="54">
        <f>IF(SUM($V58:$AA58), ROUND(V58/SUM($V58:$AA58), 2),0)</f>
        <v/>
      </c>
      <c r="D58" s="54">
        <f>IF(SUM($V58:$AA58), ROUND(W58/SUM($V58:$AA58), 2),0)</f>
        <v/>
      </c>
      <c r="E58" s="54">
        <f>IF(SUM($V58:$AA58), ROUND(X58/SUM($V58:$AA58), 2),0)</f>
        <v/>
      </c>
      <c r="F58" s="54">
        <f>IF(SUM($V58:$AA58), ROUND(Y58/SUM($V58:$AA58), 2),0)</f>
        <v/>
      </c>
      <c r="G58" s="54">
        <f>IF(SUM($V58:$AA58), ROUND(Z58/SUM($V58:$AA58), 2),0)</f>
        <v/>
      </c>
      <c r="H58" s="54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>
        <v>29</v>
      </c>
      <c r="C59" s="54">
        <f>IF(SUM($V59:$AA59), ROUND(V59/SUM($V59:$AA59), 2),0)</f>
        <v/>
      </c>
      <c r="D59" s="54">
        <f>IF(SUM($V59:$AA59), ROUND(W59/SUM($V59:$AA59), 2),0)</f>
        <v/>
      </c>
      <c r="E59" s="54">
        <f>IF(SUM($V59:$AA59), ROUND(X59/SUM($V59:$AA59), 2),0)</f>
        <v/>
      </c>
      <c r="F59" s="54">
        <f>IF(SUM($V59:$AA59), ROUND(Y59/SUM($V59:$AA59), 2),0)</f>
        <v/>
      </c>
      <c r="G59" s="54">
        <f>IF(SUM($V59:$AA59), ROUND(Z59/SUM($V59:$AA59), 2),0)</f>
        <v/>
      </c>
      <c r="H59" s="54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>
        <v>31</v>
      </c>
      <c r="C60" s="54">
        <f>IF(SUM($V60:$AA60), ROUND(V60/SUM($V60:$AA60), 2),0)</f>
        <v/>
      </c>
      <c r="D60" s="54">
        <f>IF(SUM($V60:$AA60), ROUND(W60/SUM($V60:$AA60), 2),0)</f>
        <v/>
      </c>
      <c r="E60" s="54">
        <f>IF(SUM($V60:$AA60), ROUND(X60/SUM($V60:$AA60), 2),0)</f>
        <v/>
      </c>
      <c r="F60" s="54">
        <f>IF(SUM($V60:$AA60), ROUND(Y60/SUM($V60:$AA60), 2),0)</f>
        <v/>
      </c>
      <c r="G60" s="54">
        <f>IF(SUM($V60:$AA60), ROUND(Z60/SUM($V60:$AA60), 2),0)</f>
        <v/>
      </c>
      <c r="H60" s="54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>
        <v>78</v>
      </c>
      <c r="C61" s="54">
        <f>IF(SUM($V61:$AA61), ROUND(V61/SUM($V61:$AA61), 2),0)</f>
        <v/>
      </c>
      <c r="D61" s="54">
        <f>IF(SUM($V61:$AA61), ROUND(W61/SUM($V61:$AA61), 2),0)</f>
        <v/>
      </c>
      <c r="E61" s="54">
        <f>IF(SUM($V61:$AA61), ROUND(X61/SUM($V61:$AA61), 2),0)</f>
        <v/>
      </c>
      <c r="F61" s="54">
        <f>IF(SUM($V61:$AA61), ROUND(Y61/SUM($V61:$AA61), 2),0)</f>
        <v/>
      </c>
      <c r="G61" s="54">
        <f>IF(SUM($V61:$AA61), ROUND(Z61/SUM($V61:$AA61), 2),0)</f>
        <v/>
      </c>
      <c r="H61" s="54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>
        <v>32</v>
      </c>
      <c r="C62" s="54">
        <f>IF(SUM($V62:$AA62), ROUND(V62/SUM($V62:$AA62), 2),0)</f>
        <v/>
      </c>
      <c r="D62" s="54">
        <f>IF(SUM($V62:$AA62), ROUND(W62/SUM($V62:$AA62), 2),0)</f>
        <v/>
      </c>
      <c r="E62" s="54">
        <f>IF(SUM($V62:$AA62), ROUND(X62/SUM($V62:$AA62), 2),0)</f>
        <v/>
      </c>
      <c r="F62" s="54">
        <f>IF(SUM($V62:$AA62), ROUND(Y62/SUM($V62:$AA62), 2),0)</f>
        <v/>
      </c>
      <c r="G62" s="54">
        <f>IF(SUM($V62:$AA62), ROUND(Z62/SUM($V62:$AA62), 2),0)</f>
        <v/>
      </c>
      <c r="H62" s="54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>
        <v>36</v>
      </c>
      <c r="C63" s="54">
        <f>IF(SUM($V63:$AA63), ROUND(V63/SUM($V63:$AA63), 2),0)</f>
        <v/>
      </c>
      <c r="D63" s="54">
        <f>IF(SUM($V63:$AA63), ROUND(W63/SUM($V63:$AA63), 2),0)</f>
        <v/>
      </c>
      <c r="E63" s="54">
        <f>IF(SUM($V63:$AA63), ROUND(X63/SUM($V63:$AA63), 2),0)</f>
        <v/>
      </c>
      <c r="F63" s="54">
        <f>IF(SUM($V63:$AA63), ROUND(Y63/SUM($V63:$AA63), 2),0)</f>
        <v/>
      </c>
      <c r="G63" s="54">
        <f>IF(SUM($V63:$AA63), ROUND(Z63/SUM($V63:$AA63), 2),0)</f>
        <v/>
      </c>
      <c r="H63" s="54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>
        <v>42</v>
      </c>
      <c r="C64" s="54">
        <f>IF(SUM($V64:$AA64), ROUND(V64/SUM($V64:$AA64), 2),0)</f>
        <v/>
      </c>
      <c r="D64" s="54">
        <f>IF(SUM($V64:$AA64), ROUND(W64/SUM($V64:$AA64), 2),0)</f>
        <v/>
      </c>
      <c r="E64" s="54">
        <f>IF(SUM($V64:$AA64), ROUND(X64/SUM($V64:$AA64), 2),0)</f>
        <v/>
      </c>
      <c r="F64" s="54">
        <f>IF(SUM($V64:$AA64), ROUND(Y64/SUM($V64:$AA64), 2),0)</f>
        <v/>
      </c>
      <c r="G64" s="54">
        <f>IF(SUM($V64:$AA64), ROUND(Z64/SUM($V64:$AA64), 2),0)</f>
        <v/>
      </c>
      <c r="H64" s="54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>
        <v>31</v>
      </c>
      <c r="C65" s="54">
        <f>IF(SUM($V65:$AA65), ROUND(V65/SUM($V65:$AA65), 2),0)</f>
        <v/>
      </c>
      <c r="D65" s="54">
        <f>IF(SUM($V65:$AA65), ROUND(W65/SUM($V65:$AA65), 2),0)</f>
        <v/>
      </c>
      <c r="E65" s="54">
        <f>IF(SUM($V65:$AA65), ROUND(X65/SUM($V65:$AA65), 2),0)</f>
        <v/>
      </c>
      <c r="F65" s="54">
        <f>IF(SUM($V65:$AA65), ROUND(Y65/SUM($V65:$AA65), 2),0)</f>
        <v/>
      </c>
      <c r="G65" s="54">
        <f>IF(SUM($V65:$AA65), ROUND(Z65/SUM($V65:$AA65), 2),0)</f>
        <v/>
      </c>
      <c r="H65" s="54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>
        <v>27</v>
      </c>
      <c r="C66" s="54">
        <f>IF(SUM($V66:$AA66), ROUND(V66/SUM($V66:$AA66), 2),0)</f>
        <v/>
      </c>
      <c r="D66" s="54">
        <f>IF(SUM($V66:$AA66), ROUND(W66/SUM($V66:$AA66), 2),0)</f>
        <v/>
      </c>
      <c r="E66" s="54">
        <f>IF(SUM($V66:$AA66), ROUND(X66/SUM($V66:$AA66), 2),0)</f>
        <v/>
      </c>
      <c r="F66" s="54">
        <f>IF(SUM($V66:$AA66), ROUND(Y66/SUM($V66:$AA66), 2),0)</f>
        <v/>
      </c>
      <c r="G66" s="54">
        <f>IF(SUM($V66:$AA66), ROUND(Z66/SUM($V66:$AA66), 2),0)</f>
        <v/>
      </c>
      <c r="H66" s="54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>
        <v>26</v>
      </c>
      <c r="C67" s="54">
        <f>IF(SUM($V67:$AA67), ROUND(V67/SUM($V67:$AA67), 2),0)</f>
        <v/>
      </c>
      <c r="D67" s="54">
        <f>IF(SUM($V67:$AA67), ROUND(W67/SUM($V67:$AA67), 2),0)</f>
        <v/>
      </c>
      <c r="E67" s="54">
        <f>IF(SUM($V67:$AA67), ROUND(X67/SUM($V67:$AA67), 2),0)</f>
        <v/>
      </c>
      <c r="F67" s="54">
        <f>IF(SUM($V67:$AA67), ROUND(Y67/SUM($V67:$AA67), 2),0)</f>
        <v/>
      </c>
      <c r="G67" s="54">
        <f>IF(SUM($V67:$AA67), ROUND(Z67/SUM($V67:$AA67), 2),0)</f>
        <v/>
      </c>
      <c r="H67" s="54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>
        <v>109</v>
      </c>
      <c r="C68" s="54">
        <f>IF(SUM($V68:$AA68), ROUND(V68/SUM($V68:$AA68), 2),0)</f>
        <v/>
      </c>
      <c r="D68" s="54">
        <f>IF(SUM($V68:$AA68), ROUND(W68/SUM($V68:$AA68), 2),0)</f>
        <v/>
      </c>
      <c r="E68" s="54">
        <f>IF(SUM($V68:$AA68), ROUND(X68/SUM($V68:$AA68), 2),0)</f>
        <v/>
      </c>
      <c r="F68" s="54">
        <f>IF(SUM($V68:$AA68), ROUND(Y68/SUM($V68:$AA68), 2),0)</f>
        <v/>
      </c>
      <c r="G68" s="54">
        <f>IF(SUM($V68:$AA68), ROUND(Z68/SUM($V68:$AA68), 2),0)</f>
        <v/>
      </c>
      <c r="H68" s="54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>
        <v>25</v>
      </c>
      <c r="C69" s="54">
        <f>IF(SUM($V69:$AA69), ROUND(V69/SUM($V69:$AA69), 2),0)</f>
        <v/>
      </c>
      <c r="D69" s="54">
        <f>IF(SUM($V69:$AA69), ROUND(W69/SUM($V69:$AA69), 2),0)</f>
        <v/>
      </c>
      <c r="E69" s="54">
        <f>IF(SUM($V69:$AA69), ROUND(X69/SUM($V69:$AA69), 2),0)</f>
        <v/>
      </c>
      <c r="F69" s="54">
        <f>IF(SUM($V69:$AA69), ROUND(Y69/SUM($V69:$AA69), 2),0)</f>
        <v/>
      </c>
      <c r="G69" s="54">
        <f>IF(SUM($V69:$AA69), ROUND(Z69/SUM($V69:$AA69), 2),0)</f>
        <v/>
      </c>
      <c r="H69" s="54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>
        <v>24</v>
      </c>
      <c r="C70" s="54">
        <f>IF(SUM($V70:$AA70), ROUND(V70/SUM($V70:$AA70), 2),0)</f>
        <v/>
      </c>
      <c r="D70" s="54">
        <f>IF(SUM($V70:$AA70), ROUND(W70/SUM($V70:$AA70), 2),0)</f>
        <v/>
      </c>
      <c r="E70" s="54">
        <f>IF(SUM($V70:$AA70), ROUND(X70/SUM($V70:$AA70), 2),0)</f>
        <v/>
      </c>
      <c r="F70" s="54">
        <f>IF(SUM($V70:$AA70), ROUND(Y70/SUM($V70:$AA70), 2),0)</f>
        <v/>
      </c>
      <c r="G70" s="54">
        <f>IF(SUM($V70:$AA70), ROUND(Z70/SUM($V70:$AA70), 2),0)</f>
        <v/>
      </c>
      <c r="H70" s="54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>
        <v>26</v>
      </c>
      <c r="C71" s="54">
        <f>IF(SUM($V71:$AA71), ROUND(V71/SUM($V71:$AA71), 2),0)</f>
        <v/>
      </c>
      <c r="D71" s="54">
        <f>IF(SUM($V71:$AA71), ROUND(W71/SUM($V71:$AA71), 2),0)</f>
        <v/>
      </c>
      <c r="E71" s="54">
        <f>IF(SUM($V71:$AA71), ROUND(X71/SUM($V71:$AA71), 2),0)</f>
        <v/>
      </c>
      <c r="F71" s="54">
        <f>IF(SUM($V71:$AA71), ROUND(Y71/SUM($V71:$AA71), 2),0)</f>
        <v/>
      </c>
      <c r="G71" s="54">
        <f>IF(SUM($V71:$AA71), ROUND(Z71/SUM($V71:$AA71), 2),0)</f>
        <v/>
      </c>
      <c r="H71" s="54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>
        <v>26</v>
      </c>
      <c r="C72" s="54">
        <f>IF(SUM($V72:$AA72), ROUND(V72/SUM($V72:$AA72), 2),0)</f>
        <v/>
      </c>
      <c r="D72" s="54">
        <f>IF(SUM($V72:$AA72), ROUND(W72/SUM($V72:$AA72), 2),0)</f>
        <v/>
      </c>
      <c r="E72" s="54">
        <f>IF(SUM($V72:$AA72), ROUND(X72/SUM($V72:$AA72), 2),0)</f>
        <v/>
      </c>
      <c r="F72" s="54">
        <f>IF(SUM($V72:$AA72), ROUND(Y72/SUM($V72:$AA72), 2),0)</f>
        <v/>
      </c>
      <c r="G72" s="54">
        <f>IF(SUM($V72:$AA72), ROUND(Z72/SUM($V72:$AA72), 2),0)</f>
        <v/>
      </c>
      <c r="H72" s="54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>
        <v>27</v>
      </c>
      <c r="C73" s="54">
        <f>IF(SUM($V73:$AA73), ROUND(V73/SUM($V73:$AA73), 2),0)</f>
        <v/>
      </c>
      <c r="D73" s="54">
        <f>IF(SUM($V73:$AA73), ROUND(W73/SUM($V73:$AA73), 2),0)</f>
        <v/>
      </c>
      <c r="E73" s="54">
        <f>IF(SUM($V73:$AA73), ROUND(X73/SUM($V73:$AA73), 2),0)</f>
        <v/>
      </c>
      <c r="F73" s="54">
        <f>IF(SUM($V73:$AA73), ROUND(Y73/SUM($V73:$AA73), 2),0)</f>
        <v/>
      </c>
      <c r="G73" s="54">
        <f>IF(SUM($V73:$AA73), ROUND(Z73/SUM($V73:$AA73), 2),0)</f>
        <v/>
      </c>
      <c r="H73" s="54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>
        <v>25</v>
      </c>
      <c r="C74" s="54">
        <f>IF(SUM($V74:$AA74), ROUND(V74/SUM($V74:$AA74), 2),0)</f>
        <v/>
      </c>
      <c r="D74" s="54">
        <f>IF(SUM($V74:$AA74), ROUND(W74/SUM($V74:$AA74), 2),0)</f>
        <v/>
      </c>
      <c r="E74" s="54">
        <f>IF(SUM($V74:$AA74), ROUND(X74/SUM($V74:$AA74), 2),0)</f>
        <v/>
      </c>
      <c r="F74" s="54">
        <f>IF(SUM($V74:$AA74), ROUND(Y74/SUM($V74:$AA74), 2),0)</f>
        <v/>
      </c>
      <c r="G74" s="54">
        <f>IF(SUM($V74:$AA74), ROUND(Z74/SUM($V74:$AA74), 2),0)</f>
        <v/>
      </c>
      <c r="H74" s="54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>
        <v>24</v>
      </c>
      <c r="C75" s="54">
        <f>IF(SUM($V75:$AA75), ROUND(V75/SUM($V75:$AA75), 2),0)</f>
        <v/>
      </c>
      <c r="D75" s="54">
        <f>IF(SUM($V75:$AA75), ROUND(W75/SUM($V75:$AA75), 2),0)</f>
        <v/>
      </c>
      <c r="E75" s="54">
        <f>IF(SUM($V75:$AA75), ROUND(X75/SUM($V75:$AA75), 2),0)</f>
        <v/>
      </c>
      <c r="F75" s="54">
        <f>IF(SUM($V75:$AA75), ROUND(Y75/SUM($V75:$AA75), 2),0)</f>
        <v/>
      </c>
      <c r="G75" s="54">
        <f>IF(SUM($V75:$AA75), ROUND(Z75/SUM($V75:$AA75), 2),0)</f>
        <v/>
      </c>
      <c r="H75" s="54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>
        <v>30</v>
      </c>
      <c r="C76" s="54">
        <f>IF(SUM($V76:$AA76), ROUND(V76/SUM($V76:$AA76), 2),0)</f>
        <v/>
      </c>
      <c r="D76" s="54">
        <f>IF(SUM($V76:$AA76), ROUND(W76/SUM($V76:$AA76), 2),0)</f>
        <v/>
      </c>
      <c r="E76" s="54">
        <f>IF(SUM($V76:$AA76), ROUND(X76/SUM($V76:$AA76), 2),0)</f>
        <v/>
      </c>
      <c r="F76" s="54">
        <f>IF(SUM($V76:$AA76), ROUND(Y76/SUM($V76:$AA76), 2),0)</f>
        <v/>
      </c>
      <c r="G76" s="54">
        <f>IF(SUM($V76:$AA76), ROUND(Z76/SUM($V76:$AA76), 2),0)</f>
        <v/>
      </c>
      <c r="H76" s="54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>
        <v>92</v>
      </c>
      <c r="C77" s="54">
        <f>IF(SUM($V77:$AA77), ROUND(V77/SUM($V77:$AA77), 2),0)</f>
        <v/>
      </c>
      <c r="D77" s="54">
        <f>IF(SUM($V77:$AA77), ROUND(W77/SUM($V77:$AA77), 2),0)</f>
        <v/>
      </c>
      <c r="E77" s="54">
        <f>IF(SUM($V77:$AA77), ROUND(X77/SUM($V77:$AA77), 2),0)</f>
        <v/>
      </c>
      <c r="F77" s="54">
        <f>IF(SUM($V77:$AA77), ROUND(Y77/SUM($V77:$AA77), 2),0)</f>
        <v/>
      </c>
      <c r="G77" s="54">
        <f>IF(SUM($V77:$AA77), ROUND(Z77/SUM($V77:$AA77), 2),0)</f>
        <v/>
      </c>
      <c r="H77" s="54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>
        <v>29</v>
      </c>
      <c r="C78" s="54">
        <f>IF(SUM($V78:$AA78), ROUND(V78/SUM($V78:$AA78), 2),0)</f>
        <v/>
      </c>
      <c r="D78" s="54">
        <f>IF(SUM($V78:$AA78), ROUND(W78/SUM($V78:$AA78), 2),0)</f>
        <v/>
      </c>
      <c r="E78" s="54">
        <f>IF(SUM($V78:$AA78), ROUND(X78/SUM($V78:$AA78), 2),0)</f>
        <v/>
      </c>
      <c r="F78" s="54">
        <f>IF(SUM($V78:$AA78), ROUND(Y78/SUM($V78:$AA78), 2),0)</f>
        <v/>
      </c>
      <c r="G78" s="54">
        <f>IF(SUM($V78:$AA78), ROUND(Z78/SUM($V78:$AA78), 2),0)</f>
        <v/>
      </c>
      <c r="H78" s="54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>
        <v>28</v>
      </c>
      <c r="C79" s="54">
        <f>IF(SUM($V79:$AA79), ROUND(V79/SUM($V79:$AA79), 2),0)</f>
        <v/>
      </c>
      <c r="D79" s="54">
        <f>IF(SUM($V79:$AA79), ROUND(W79/SUM($V79:$AA79), 2),0)</f>
        <v/>
      </c>
      <c r="E79" s="54">
        <f>IF(SUM($V79:$AA79), ROUND(X79/SUM($V79:$AA79), 2),0)</f>
        <v/>
      </c>
      <c r="F79" s="54">
        <f>IF(SUM($V79:$AA79), ROUND(Y79/SUM($V79:$AA79), 2),0)</f>
        <v/>
      </c>
      <c r="G79" s="54">
        <f>IF(SUM($V79:$AA79), ROUND(Z79/SUM($V79:$AA79), 2),0)</f>
        <v/>
      </c>
      <c r="H79" s="54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>
        <v>30</v>
      </c>
      <c r="C80" s="54">
        <f>IF(SUM($V80:$AA80), ROUND(V80/SUM($V80:$AA80), 2),0)</f>
        <v/>
      </c>
      <c r="D80" s="54">
        <f>IF(SUM($V80:$AA80), ROUND(W80/SUM($V80:$AA80), 2),0)</f>
        <v/>
      </c>
      <c r="E80" s="54">
        <f>IF(SUM($V80:$AA80), ROUND(X80/SUM($V80:$AA80), 2),0)</f>
        <v/>
      </c>
      <c r="F80" s="54">
        <f>IF(SUM($V80:$AA80), ROUND(Y80/SUM($V80:$AA80), 2),0)</f>
        <v/>
      </c>
      <c r="G80" s="54">
        <f>IF(SUM($V80:$AA80), ROUND(Z80/SUM($V80:$AA80), 2),0)</f>
        <v/>
      </c>
      <c r="H80" s="54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>
        <v>27</v>
      </c>
      <c r="C81" s="54">
        <f>IF(SUM($V81:$AA81), ROUND(V81/SUM($V81:$AA81), 2),0)</f>
        <v/>
      </c>
      <c r="D81" s="54">
        <f>IF(SUM($V81:$AA81), ROUND(W81/SUM($V81:$AA81), 2),0)</f>
        <v/>
      </c>
      <c r="E81" s="54">
        <f>IF(SUM($V81:$AA81), ROUND(X81/SUM($V81:$AA81), 2),0)</f>
        <v/>
      </c>
      <c r="F81" s="54">
        <f>IF(SUM($V81:$AA81), ROUND(Y81/SUM($V81:$AA81), 2),0)</f>
        <v/>
      </c>
      <c r="G81" s="54">
        <f>IF(SUM($V81:$AA81), ROUND(Z81/SUM($V81:$AA81), 2),0)</f>
        <v/>
      </c>
      <c r="H81" s="54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>
        <v>31</v>
      </c>
      <c r="C82" s="54">
        <f>IF(SUM($V82:$AA82), ROUND(V82/SUM($V82:$AA82), 2),0)</f>
        <v/>
      </c>
      <c r="D82" s="54">
        <f>IF(SUM($V82:$AA82), ROUND(W82/SUM($V82:$AA82), 2),0)</f>
        <v/>
      </c>
      <c r="E82" s="54">
        <f>IF(SUM($V82:$AA82), ROUND(X82/SUM($V82:$AA82), 2),0)</f>
        <v/>
      </c>
      <c r="F82" s="54">
        <f>IF(SUM($V82:$AA82), ROUND(Y82/SUM($V82:$AA82), 2),0)</f>
        <v/>
      </c>
      <c r="G82" s="54">
        <f>IF(SUM($V82:$AA82), ROUND(Z82/SUM($V82:$AA82), 2),0)</f>
        <v/>
      </c>
      <c r="H82" s="54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>
        <v>31</v>
      </c>
      <c r="C83" s="54">
        <f>IF(SUM($V83:$AA83), ROUND(V83/SUM($V83:$AA83), 2),0)</f>
        <v/>
      </c>
      <c r="D83" s="54">
        <f>IF(SUM($V83:$AA83), ROUND(W83/SUM($V83:$AA83), 2),0)</f>
        <v/>
      </c>
      <c r="E83" s="54">
        <f>IF(SUM($V83:$AA83), ROUND(X83/SUM($V83:$AA83), 2),0)</f>
        <v/>
      </c>
      <c r="F83" s="54">
        <f>IF(SUM($V83:$AA83), ROUND(Y83/SUM($V83:$AA83), 2),0)</f>
        <v/>
      </c>
      <c r="G83" s="54">
        <f>IF(SUM($V83:$AA83), ROUND(Z83/SUM($V83:$AA83), 2),0)</f>
        <v/>
      </c>
      <c r="H83" s="54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>
        <v>27</v>
      </c>
      <c r="C84" s="54">
        <f>IF(SUM($V84:$AA84), ROUND(V84/SUM($V84:$AA84), 2),0)</f>
        <v/>
      </c>
      <c r="D84" s="54">
        <f>IF(SUM($V84:$AA84), ROUND(W84/SUM($V84:$AA84), 2),0)</f>
        <v/>
      </c>
      <c r="E84" s="54">
        <f>IF(SUM($V84:$AA84), ROUND(X84/SUM($V84:$AA84), 2),0)</f>
        <v/>
      </c>
      <c r="F84" s="54">
        <f>IF(SUM($V84:$AA84), ROUND(Y84/SUM($V84:$AA84), 2),0)</f>
        <v/>
      </c>
      <c r="G84" s="54">
        <f>IF(SUM($V84:$AA84), ROUND(Z84/SUM($V84:$AA84), 2),0)</f>
        <v/>
      </c>
      <c r="H84" s="54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>
        <v>297</v>
      </c>
      <c r="C85" s="54">
        <f>IF(SUM($V85:$AA85), ROUND(V85/SUM($V85:$AA85), 2),0)</f>
        <v/>
      </c>
      <c r="D85" s="54">
        <f>IF(SUM($V85:$AA85), ROUND(W85/SUM($V85:$AA85), 2),0)</f>
        <v/>
      </c>
      <c r="E85" s="54">
        <f>IF(SUM($V85:$AA85), ROUND(X85/SUM($V85:$AA85), 2),0)</f>
        <v/>
      </c>
      <c r="F85" s="54">
        <f>IF(SUM($V85:$AA85), ROUND(Y85/SUM($V85:$AA85), 2),0)</f>
        <v/>
      </c>
      <c r="G85" s="54">
        <f>IF(SUM($V85:$AA85), ROUND(Z85/SUM($V85:$AA85), 2),0)</f>
        <v/>
      </c>
      <c r="H85" s="54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>
        <v>272</v>
      </c>
      <c r="AA85" s="25" t="n"/>
    </row>
    <row r="86" ht="33" customHeight="1">
      <c r="A86" s="22" t="n">
        <v>74</v>
      </c>
      <c r="B86" s="26" t="n">
        <v>30</v>
      </c>
      <c r="C86" s="54">
        <f>IF(SUM($V86:$AA86), ROUND(V86/SUM($V86:$AA86), 2),0)</f>
        <v/>
      </c>
      <c r="D86" s="54">
        <f>IF(SUM($V86:$AA86), ROUND(W86/SUM($V86:$AA86), 2),0)</f>
        <v/>
      </c>
      <c r="E86" s="54">
        <f>IF(SUM($V86:$AA86), ROUND(X86/SUM($V86:$AA86), 2),0)</f>
        <v/>
      </c>
      <c r="F86" s="54">
        <f>IF(SUM($V86:$AA86), ROUND(Y86/SUM($V86:$AA86), 2),0)</f>
        <v/>
      </c>
      <c r="G86" s="54">
        <f>IF(SUM($V86:$AA86), ROUND(Z86/SUM($V86:$AA86), 2),0)</f>
        <v/>
      </c>
      <c r="H86" s="54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>
        <v>29</v>
      </c>
      <c r="C87" s="54">
        <f>IF(SUM($V87:$AA87), ROUND(V87/SUM($V87:$AA87), 2),0)</f>
        <v/>
      </c>
      <c r="D87" s="54">
        <f>IF(SUM($V87:$AA87), ROUND(W87/SUM($V87:$AA87), 2),0)</f>
        <v/>
      </c>
      <c r="E87" s="54">
        <f>IF(SUM($V87:$AA87), ROUND(X87/SUM($V87:$AA87), 2),0)</f>
        <v/>
      </c>
      <c r="F87" s="54">
        <f>IF(SUM($V87:$AA87), ROUND(Y87/SUM($V87:$AA87), 2),0)</f>
        <v/>
      </c>
      <c r="G87" s="54">
        <f>IF(SUM($V87:$AA87), ROUND(Z87/SUM($V87:$AA87), 2),0)</f>
        <v/>
      </c>
      <c r="H87" s="54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>
        <v>30</v>
      </c>
      <c r="C88" s="54">
        <f>IF(SUM($V88:$AA88), ROUND(V88/SUM($V88:$AA88), 2),0)</f>
        <v/>
      </c>
      <c r="D88" s="54">
        <f>IF(SUM($V88:$AA88), ROUND(W88/SUM($V88:$AA88), 2),0)</f>
        <v/>
      </c>
      <c r="E88" s="54">
        <f>IF(SUM($V88:$AA88), ROUND(X88/SUM($V88:$AA88), 2),0)</f>
        <v/>
      </c>
      <c r="F88" s="54">
        <f>IF(SUM($V88:$AA88), ROUND(Y88/SUM($V88:$AA88), 2),0)</f>
        <v/>
      </c>
      <c r="G88" s="54">
        <f>IF(SUM($V88:$AA88), ROUND(Z88/SUM($V88:$AA88), 2),0)</f>
        <v/>
      </c>
      <c r="H88" s="54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>
        <v>25</v>
      </c>
      <c r="C89" s="54">
        <f>IF(SUM($V89:$AA89), ROUND(V89/SUM($V89:$AA89), 2),0)</f>
        <v/>
      </c>
      <c r="D89" s="54">
        <f>IF(SUM($V89:$AA89), ROUND(W89/SUM($V89:$AA89), 2),0)</f>
        <v/>
      </c>
      <c r="E89" s="54">
        <f>IF(SUM($V89:$AA89), ROUND(X89/SUM($V89:$AA89), 2),0)</f>
        <v/>
      </c>
      <c r="F89" s="54">
        <f>IF(SUM($V89:$AA89), ROUND(Y89/SUM($V89:$AA89), 2),0)</f>
        <v/>
      </c>
      <c r="G89" s="54">
        <f>IF(SUM($V89:$AA89), ROUND(Z89/SUM($V89:$AA89), 2),0)</f>
        <v/>
      </c>
      <c r="H89" s="54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>
        <v>25</v>
      </c>
      <c r="C90" s="54">
        <f>IF(SUM($V90:$AA90), ROUND(V90/SUM($V90:$AA90), 2),0)</f>
        <v/>
      </c>
      <c r="D90" s="54">
        <f>IF(SUM($V90:$AA90), ROUND(W90/SUM($V90:$AA90), 2),0)</f>
        <v/>
      </c>
      <c r="E90" s="54">
        <f>IF(SUM($V90:$AA90), ROUND(X90/SUM($V90:$AA90), 2),0)</f>
        <v/>
      </c>
      <c r="F90" s="54">
        <f>IF(SUM($V90:$AA90), ROUND(Y90/SUM($V90:$AA90), 2),0)</f>
        <v/>
      </c>
      <c r="G90" s="54">
        <f>IF(SUM($V90:$AA90), ROUND(Z90/SUM($V90:$AA90), 2),0)</f>
        <v/>
      </c>
      <c r="H90" s="54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>
        <v>26</v>
      </c>
      <c r="C91" s="54">
        <f>IF(SUM($V91:$AA91), ROUND(V91/SUM($V91:$AA91), 2),0)</f>
        <v/>
      </c>
      <c r="D91" s="54">
        <f>IF(SUM($V91:$AA91), ROUND(W91/SUM($V91:$AA91), 2),0)</f>
        <v/>
      </c>
      <c r="E91" s="54">
        <f>IF(SUM($V91:$AA91), ROUND(X91/SUM($V91:$AA91), 2),0)</f>
        <v/>
      </c>
      <c r="F91" s="54">
        <f>IF(SUM($V91:$AA91), ROUND(Y91/SUM($V91:$AA91), 2),0)</f>
        <v/>
      </c>
      <c r="G91" s="54">
        <f>IF(SUM($V91:$AA91), ROUND(Z91/SUM($V91:$AA91), 2),0)</f>
        <v/>
      </c>
      <c r="H91" s="54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>
        <v>26</v>
      </c>
      <c r="C92" s="54">
        <f>IF(SUM($V92:$AA92), ROUND(V92/SUM($V92:$AA92), 2),0)</f>
        <v/>
      </c>
      <c r="D92" s="54">
        <f>IF(SUM($V92:$AA92), ROUND(W92/SUM($V92:$AA92), 2),0)</f>
        <v/>
      </c>
      <c r="E92" s="54">
        <f>IF(SUM($V92:$AA92), ROUND(X92/SUM($V92:$AA92), 2),0)</f>
        <v/>
      </c>
      <c r="F92" s="54">
        <f>IF(SUM($V92:$AA92), ROUND(Y92/SUM($V92:$AA92), 2),0)</f>
        <v/>
      </c>
      <c r="G92" s="54">
        <f>IF(SUM($V92:$AA92), ROUND(Z92/SUM($V92:$AA92), 2),0)</f>
        <v/>
      </c>
      <c r="H92" s="54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>
        <v>92</v>
      </c>
      <c r="C93" s="54">
        <f>IF(SUM($V93:$AA93), ROUND(V93/SUM($V93:$AA93), 2),0)</f>
        <v/>
      </c>
      <c r="D93" s="54">
        <f>IF(SUM($V93:$AA93), ROUND(W93/SUM($V93:$AA93), 2),0)</f>
        <v/>
      </c>
      <c r="E93" s="54">
        <f>IF(SUM($V93:$AA93), ROUND(X93/SUM($V93:$AA93), 2),0)</f>
        <v/>
      </c>
      <c r="F93" s="54">
        <f>IF(SUM($V93:$AA93), ROUND(Y93/SUM($V93:$AA93), 2),0)</f>
        <v/>
      </c>
      <c r="G93" s="54">
        <f>IF(SUM($V93:$AA93), ROUND(Z93/SUM($V93:$AA93), 2),0)</f>
        <v/>
      </c>
      <c r="H93" s="54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>
        <v>24</v>
      </c>
      <c r="C94" s="54">
        <f>IF(SUM($V94:$AA94), ROUND(V94/SUM($V94:$AA94), 2),0)</f>
        <v/>
      </c>
      <c r="D94" s="54">
        <f>IF(SUM($V94:$AA94), ROUND(W94/SUM($V94:$AA94), 2),0)</f>
        <v/>
      </c>
      <c r="E94" s="54">
        <f>IF(SUM($V94:$AA94), ROUND(X94/SUM($V94:$AA94), 2),0)</f>
        <v/>
      </c>
      <c r="F94" s="54">
        <f>IF(SUM($V94:$AA94), ROUND(Y94/SUM($V94:$AA94), 2),0)</f>
        <v/>
      </c>
      <c r="G94" s="54">
        <f>IF(SUM($V94:$AA94), ROUND(Z94/SUM($V94:$AA94), 2),0)</f>
        <v/>
      </c>
      <c r="H94" s="54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>
        <v>24</v>
      </c>
      <c r="C95" s="54">
        <f>IF(SUM($V95:$AA95), ROUND(V95/SUM($V95:$AA95), 2),0)</f>
        <v/>
      </c>
      <c r="D95" s="54">
        <f>IF(SUM($V95:$AA95), ROUND(W95/SUM($V95:$AA95), 2),0)</f>
        <v/>
      </c>
      <c r="E95" s="54">
        <f>IF(SUM($V95:$AA95), ROUND(X95/SUM($V95:$AA95), 2),0)</f>
        <v/>
      </c>
      <c r="F95" s="54">
        <f>IF(SUM($V95:$AA95), ROUND(Y95/SUM($V95:$AA95), 2),0)</f>
        <v/>
      </c>
      <c r="G95" s="54">
        <f>IF(SUM($V95:$AA95), ROUND(Z95/SUM($V95:$AA95), 2),0)</f>
        <v/>
      </c>
      <c r="H95" s="54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>
        <v>23</v>
      </c>
      <c r="C96" s="54">
        <f>IF(SUM($V96:$AA96), ROUND(V96/SUM($V96:$AA96), 2),0)</f>
        <v/>
      </c>
      <c r="D96" s="54">
        <f>IF(SUM($V96:$AA96), ROUND(W96/SUM($V96:$AA96), 2),0)</f>
        <v/>
      </c>
      <c r="E96" s="54">
        <f>IF(SUM($V96:$AA96), ROUND(X96/SUM($V96:$AA96), 2),0)</f>
        <v/>
      </c>
      <c r="F96" s="54">
        <f>IF(SUM($V96:$AA96), ROUND(Y96/SUM($V96:$AA96), 2),0)</f>
        <v/>
      </c>
      <c r="G96" s="54">
        <f>IF(SUM($V96:$AA96), ROUND(Z96/SUM($V96:$AA96), 2),0)</f>
        <v/>
      </c>
      <c r="H96" s="54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>
        <v>23</v>
      </c>
      <c r="C97" s="54">
        <f>IF(SUM($V97:$AA97), ROUND(V97/SUM($V97:$AA97), 2),0)</f>
        <v/>
      </c>
      <c r="D97" s="54">
        <f>IF(SUM($V97:$AA97), ROUND(W97/SUM($V97:$AA97), 2),0)</f>
        <v/>
      </c>
      <c r="E97" s="54">
        <f>IF(SUM($V97:$AA97), ROUND(X97/SUM($V97:$AA97), 2),0)</f>
        <v/>
      </c>
      <c r="F97" s="54">
        <f>IF(SUM($V97:$AA97), ROUND(Y97/SUM($V97:$AA97), 2),0)</f>
        <v/>
      </c>
      <c r="G97" s="54">
        <f>IF(SUM($V97:$AA97), ROUND(Z97/SUM($V97:$AA97), 2),0)</f>
        <v/>
      </c>
      <c r="H97" s="54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>
        <v>26</v>
      </c>
      <c r="C98" s="54">
        <f>IF(SUM($V98:$AA98), ROUND(V98/SUM($V98:$AA98), 2),0)</f>
        <v/>
      </c>
      <c r="D98" s="54">
        <f>IF(SUM($V98:$AA98), ROUND(W98/SUM($V98:$AA98), 2),0)</f>
        <v/>
      </c>
      <c r="E98" s="54">
        <f>IF(SUM($V98:$AA98), ROUND(X98/SUM($V98:$AA98), 2),0)</f>
        <v/>
      </c>
      <c r="F98" s="54">
        <f>IF(SUM($V98:$AA98), ROUND(Y98/SUM($V98:$AA98), 2),0)</f>
        <v/>
      </c>
      <c r="G98" s="54">
        <f>IF(SUM($V98:$AA98), ROUND(Z98/SUM($V98:$AA98), 2),0)</f>
        <v/>
      </c>
      <c r="H98" s="54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>
        <v>25</v>
      </c>
      <c r="C99" s="54">
        <f>IF(SUM($V99:$AA99), ROUND(V99/SUM($V99:$AA99), 2),0)</f>
        <v/>
      </c>
      <c r="D99" s="54">
        <f>IF(SUM($V99:$AA99), ROUND(W99/SUM($V99:$AA99), 2),0)</f>
        <v/>
      </c>
      <c r="E99" s="54">
        <f>IF(SUM($V99:$AA99), ROUND(X99/SUM($V99:$AA99), 2),0)</f>
        <v/>
      </c>
      <c r="F99" s="54">
        <f>IF(SUM($V99:$AA99), ROUND(Y99/SUM($V99:$AA99), 2),0)</f>
        <v/>
      </c>
      <c r="G99" s="54">
        <f>IF(SUM($V99:$AA99), ROUND(Z99/SUM($V99:$AA99), 2),0)</f>
        <v/>
      </c>
      <c r="H99" s="54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>
        <v>24</v>
      </c>
      <c r="C100" s="54">
        <f>IF(SUM($V100:$AA100), ROUND(V100/SUM($V100:$AA100), 2),0)</f>
        <v/>
      </c>
      <c r="D100" s="54">
        <f>IF(SUM($V100:$AA100), ROUND(W100/SUM($V100:$AA100), 2),0)</f>
        <v/>
      </c>
      <c r="E100" s="54">
        <f>IF(SUM($V100:$AA100), ROUND(X100/SUM($V100:$AA100), 2),0)</f>
        <v/>
      </c>
      <c r="F100" s="54">
        <f>IF(SUM($V100:$AA100), ROUND(Y100/SUM($V100:$AA100), 2),0)</f>
        <v/>
      </c>
      <c r="G100" s="54">
        <f>IF(SUM($V100:$AA100), ROUND(Z100/SUM($V100:$AA100), 2),0)</f>
        <v/>
      </c>
      <c r="H100" s="54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>
        <v>29</v>
      </c>
      <c r="C101" s="54">
        <f>IF(SUM($V101:$AA101), ROUND(V101/SUM($V101:$AA101), 2),0)</f>
        <v/>
      </c>
      <c r="D101" s="54">
        <f>IF(SUM($V101:$AA101), ROUND(W101/SUM($V101:$AA101), 2),0)</f>
        <v/>
      </c>
      <c r="E101" s="54">
        <f>IF(SUM($V101:$AA101), ROUND(X101/SUM($V101:$AA101), 2),0)</f>
        <v/>
      </c>
      <c r="F101" s="54">
        <f>IF(SUM($V101:$AA101), ROUND(Y101/SUM($V101:$AA101), 2),0)</f>
        <v/>
      </c>
      <c r="G101" s="54">
        <f>IF(SUM($V101:$AA101), ROUND(Z101/SUM($V101:$AA101), 2),0)</f>
        <v/>
      </c>
      <c r="H101" s="54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>
        <v>75</v>
      </c>
      <c r="C102" s="54">
        <f>IF(SUM($V102:$AA102), ROUND(V102/SUM($V102:$AA102), 2),0)</f>
        <v/>
      </c>
      <c r="D102" s="54">
        <f>IF(SUM($V102:$AA102), ROUND(W102/SUM($V102:$AA102), 2),0)</f>
        <v/>
      </c>
      <c r="E102" s="54">
        <f>IF(SUM($V102:$AA102), ROUND(X102/SUM($V102:$AA102), 2),0)</f>
        <v/>
      </c>
      <c r="F102" s="54">
        <f>IF(SUM($V102:$AA102), ROUND(Y102/SUM($V102:$AA102), 2),0)</f>
        <v/>
      </c>
      <c r="G102" s="54">
        <f>IF(SUM($V102:$AA102), ROUND(Z102/SUM($V102:$AA102), 2),0)</f>
        <v/>
      </c>
      <c r="H102" s="54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>
        <v>31</v>
      </c>
      <c r="C103" s="54">
        <f>IF(SUM($V103:$AA103), ROUND(V103/SUM($V103:$AA103), 2),0)</f>
        <v/>
      </c>
      <c r="D103" s="54">
        <f>IF(SUM($V103:$AA103), ROUND(W103/SUM($V103:$AA103), 2),0)</f>
        <v/>
      </c>
      <c r="E103" s="54">
        <f>IF(SUM($V103:$AA103), ROUND(X103/SUM($V103:$AA103), 2),0)</f>
        <v/>
      </c>
      <c r="F103" s="54">
        <f>IF(SUM($V103:$AA103), ROUND(Y103/SUM($V103:$AA103), 2),0)</f>
        <v/>
      </c>
      <c r="G103" s="54">
        <f>IF(SUM($V103:$AA103), ROUND(Z103/SUM($V103:$AA103), 2),0)</f>
        <v/>
      </c>
      <c r="H103" s="54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>
        <v>30</v>
      </c>
      <c r="C104" s="54">
        <f>IF(SUM($V104:$AA104), ROUND(V104/SUM($V104:$AA104), 2),0)</f>
        <v/>
      </c>
      <c r="D104" s="54">
        <f>IF(SUM($V104:$AA104), ROUND(W104/SUM($V104:$AA104), 2),0)</f>
        <v/>
      </c>
      <c r="E104" s="54">
        <f>IF(SUM($V104:$AA104), ROUND(X104/SUM($V104:$AA104), 2),0)</f>
        <v/>
      </c>
      <c r="F104" s="54">
        <f>IF(SUM($V104:$AA104), ROUND(Y104/SUM($V104:$AA104), 2),0)</f>
        <v/>
      </c>
      <c r="G104" s="54">
        <f>IF(SUM($V104:$AA104), ROUND(Z104/SUM($V104:$AA104), 2),0)</f>
        <v/>
      </c>
      <c r="H104" s="54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>
        <v>29</v>
      </c>
      <c r="C105" s="54">
        <f>IF(SUM($V105:$AA105), ROUND(V105/SUM($V105:$AA105), 2),0)</f>
        <v/>
      </c>
      <c r="D105" s="54">
        <f>IF(SUM($V105:$AA105), ROUND(W105/SUM($V105:$AA105), 2),0)</f>
        <v/>
      </c>
      <c r="E105" s="54">
        <f>IF(SUM($V105:$AA105), ROUND(X105/SUM($V105:$AA105), 2),0)</f>
        <v/>
      </c>
      <c r="F105" s="54">
        <f>IF(SUM($V105:$AA105), ROUND(Y105/SUM($V105:$AA105), 2),0)</f>
        <v/>
      </c>
      <c r="G105" s="54">
        <f>IF(SUM($V105:$AA105), ROUND(Z105/SUM($V105:$AA105), 2),0)</f>
        <v/>
      </c>
      <c r="H105" s="54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>
        <v>27</v>
      </c>
      <c r="C106" s="54">
        <f>IF(SUM($V106:$AA106), ROUND(V106/SUM($V106:$AA106), 2),0)</f>
        <v/>
      </c>
      <c r="D106" s="54">
        <f>IF(SUM($V106:$AA106), ROUND(W106/SUM($V106:$AA106), 2),0)</f>
        <v/>
      </c>
      <c r="E106" s="54">
        <f>IF(SUM($V106:$AA106), ROUND(X106/SUM($V106:$AA106), 2),0)</f>
        <v/>
      </c>
      <c r="F106" s="54">
        <f>IF(SUM($V106:$AA106), ROUND(Y106/SUM($V106:$AA106), 2),0)</f>
        <v/>
      </c>
      <c r="G106" s="54">
        <f>IF(SUM($V106:$AA106), ROUND(Z106/SUM($V106:$AA106), 2),0)</f>
        <v/>
      </c>
      <c r="H106" s="54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>
        <v>32</v>
      </c>
      <c r="C107" s="54">
        <f>IF(SUM($V107:$AA107), ROUND(V107/SUM($V107:$AA107), 2),0)</f>
        <v/>
      </c>
      <c r="D107" s="54">
        <f>IF(SUM($V107:$AA107), ROUND(W107/SUM($V107:$AA107), 2),0)</f>
        <v/>
      </c>
      <c r="E107" s="54">
        <f>IF(SUM($V107:$AA107), ROUND(X107/SUM($V107:$AA107), 2),0)</f>
        <v/>
      </c>
      <c r="F107" s="54">
        <f>IF(SUM($V107:$AA107), ROUND(Y107/SUM($V107:$AA107), 2),0)</f>
        <v/>
      </c>
      <c r="G107" s="54">
        <f>IF(SUM($V107:$AA107), ROUND(Z107/SUM($V107:$AA107), 2),0)</f>
        <v/>
      </c>
      <c r="H107" s="54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>
        <v>27</v>
      </c>
      <c r="C108" s="54">
        <f>IF(SUM($V108:$AA108), ROUND(V108/SUM($V108:$AA108), 2),0)</f>
        <v/>
      </c>
      <c r="D108" s="54">
        <f>IF(SUM($V108:$AA108), ROUND(W108/SUM($V108:$AA108), 2),0)</f>
        <v/>
      </c>
      <c r="E108" s="54">
        <f>IF(SUM($V108:$AA108), ROUND(X108/SUM($V108:$AA108), 2),0)</f>
        <v/>
      </c>
      <c r="F108" s="54">
        <f>IF(SUM($V108:$AA108), ROUND(Y108/SUM($V108:$AA108), 2),0)</f>
        <v/>
      </c>
      <c r="G108" s="54">
        <f>IF(SUM($V108:$AA108), ROUND(Z108/SUM($V108:$AA108), 2),0)</f>
        <v/>
      </c>
      <c r="H108" s="54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>
        <v>27</v>
      </c>
      <c r="C109" s="54">
        <f>IF(SUM($V109:$AA109), ROUND(V109/SUM($V109:$AA109), 2),0)</f>
        <v/>
      </c>
      <c r="D109" s="54">
        <f>IF(SUM($V109:$AA109), ROUND(W109/SUM($V109:$AA109), 2),0)</f>
        <v/>
      </c>
      <c r="E109" s="54">
        <f>IF(SUM($V109:$AA109), ROUND(X109/SUM($V109:$AA109), 2),0)</f>
        <v/>
      </c>
      <c r="F109" s="54">
        <f>IF(SUM($V109:$AA109), ROUND(Y109/SUM($V109:$AA109), 2),0)</f>
        <v/>
      </c>
      <c r="G109" s="54">
        <f>IF(SUM($V109:$AA109), ROUND(Z109/SUM($V109:$AA109), 2),0)</f>
        <v/>
      </c>
      <c r="H109" s="54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>
        <v>65</v>
      </c>
      <c r="C110" s="54">
        <f>IF(SUM($V110:$AA110), ROUND(V110/SUM($V110:$AA110), 2),0)</f>
        <v/>
      </c>
      <c r="D110" s="54">
        <f>IF(SUM($V110:$AA110), ROUND(W110/SUM($V110:$AA110), 2),0)</f>
        <v/>
      </c>
      <c r="E110" s="54">
        <f>IF(SUM($V110:$AA110), ROUND(X110/SUM($V110:$AA110), 2),0)</f>
        <v/>
      </c>
      <c r="F110" s="54">
        <f>IF(SUM($V110:$AA110), ROUND(Y110/SUM($V110:$AA110), 2),0)</f>
        <v/>
      </c>
      <c r="G110" s="54">
        <f>IF(SUM($V110:$AA110), ROUND(Z110/SUM($V110:$AA110), 2),0)</f>
        <v/>
      </c>
      <c r="H110" s="54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>
        <v>17</v>
      </c>
      <c r="C111" s="54">
        <f>IF(SUM($V111:$AA111), ROUND(V111/SUM($V111:$AA111), 2),0)</f>
        <v/>
      </c>
      <c r="D111" s="54">
        <f>IF(SUM($V111:$AA111), ROUND(W111/SUM($V111:$AA111), 2),0)</f>
        <v/>
      </c>
      <c r="E111" s="54">
        <f>IF(SUM($V111:$AA111), ROUND(X111/SUM($V111:$AA111), 2),0)</f>
        <v/>
      </c>
      <c r="F111" s="54">
        <f>IF(SUM($V111:$AA111), ROUND(Y111/SUM($V111:$AA111), 2),0)</f>
        <v/>
      </c>
      <c r="G111" s="54">
        <f>IF(SUM($V111:$AA111), ROUND(Z111/SUM($V111:$AA111), 2),0)</f>
        <v/>
      </c>
      <c r="H111" s="54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>
        <v>20</v>
      </c>
      <c r="C112" s="55">
        <f>IF(SUM($V112:$AA112), ROUND(V112/SUM($V112:$AA112), 2),0)</f>
        <v/>
      </c>
      <c r="D112" s="55">
        <f>IF(SUM($V112:$AA112), ROUND(W112/SUM($V112:$AA112), 2),0)</f>
        <v/>
      </c>
      <c r="E112" s="55">
        <f>IF(SUM($V112:$AA112), ROUND(X112/SUM($V112:$AA112), 2),0)</f>
        <v/>
      </c>
      <c r="F112" s="55">
        <f>IF(SUM($V112:$AA112), ROUND(Y112/SUM($V112:$AA112), 2),0)</f>
        <v/>
      </c>
      <c r="G112" s="55">
        <f>IF(SUM($V112:$AA112), ROUND(Z112/SUM($V112:$AA112), 2),0)</f>
        <v/>
      </c>
      <c r="H112" s="55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CNS Labs</dc:creator>
  <dcterms:created xsi:type="dcterms:W3CDTF">2001-01-27T00:38:41Z</dcterms:created>
  <dcterms:modified xsi:type="dcterms:W3CDTF">2026-05-26T08:14:58Z</dcterms:modified>
  <cp:lastModifiedBy>Mengistu Getie</cp:lastModifiedBy>
  <cp:lastPrinted>2013-05-12T00:05:33Z</cp:lastPrinted>
</cp:coreProperties>
</file>