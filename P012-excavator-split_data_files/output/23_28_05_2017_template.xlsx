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DA6CE327-92C8-4469-9E76-C71992868F5E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16" i="2"/>
  <c r="Q117" i="2"/>
  <c r="F113" i="2"/>
  <c r="R113" i="2"/>
  <c r="R115" i="2"/>
  <c r="R116" i="2"/>
  <c r="R117" i="2"/>
  <c r="G113" i="2"/>
  <c r="S113" i="2"/>
  <c r="S115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<sst xmlns="http://schemas.openxmlformats.org/spreadsheetml/2006/main" count="414" uniqueCount="98">
  <si>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</si>
  <si>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</si>
  <si>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</si>
  <si>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</si>
  <si>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</si>
  <si>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</si>
  <si>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</si>
  <si>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28-05-2017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</si>
  <si>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</si>
  <si>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</si>
  <si>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</si>
  <si>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</si>
  <si>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</si>
  <si>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</si>
  <si>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</si>
  <si>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</si>
  <si>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</si>
  <si>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</si>
  <si>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</si>
  <si>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</si>
  <si>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</si>
  <si>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</si>
  <si>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</si>
  <si>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</si>
  <si>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</si>
  <si>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</si>
  <si>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</si>
  <si>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>1/12 foreman,1 operator, 1helper</t>
  </si>
  <si>
    <t>Hoe</t>
  </si>
  <si>
    <t>soft rock excavation using hydraulic exvavator</t>
  </si>
  <si>
    <t>clay and gravel</t>
  </si>
  <si>
    <t>Exacator 76</t>
  </si>
  <si>
    <t>Exacator 77</t>
  </si>
  <si>
    <t>Exacator 78</t>
  </si>
  <si>
    <t>Exacator 79</t>
  </si>
  <si>
    <t>Exacator 80</t>
  </si>
  <si>
    <t>Exacator 81</t>
  </si>
  <si>
    <t>Exacator 82</t>
  </si>
  <si>
    <t>Exacator 83</t>
  </si>
  <si>
    <t>Exacator 84</t>
  </si>
  <si>
    <t>Exacator 85</t>
  </si>
  <si>
    <t>Exacator 86</t>
  </si>
  <si>
    <t>Exacator 87</t>
  </si>
  <si>
    <t>Exacator 88</t>
  </si>
  <si>
    <t>Exacator 89</t>
  </si>
  <si>
    <t>Exacator 90</t>
  </si>
  <si>
    <t>Exacator 91</t>
  </si>
  <si>
    <t>Exacator 92</t>
  </si>
  <si>
    <t>Exacator 93</t>
  </si>
  <si>
    <t>Exacator 94</t>
  </si>
  <si>
    <t>Exacator 95</t>
  </si>
  <si>
    <t>Exacator 96</t>
  </si>
  <si>
    <t>Exacator 97</t>
  </si>
  <si>
    <t>Exacator 98</t>
  </si>
  <si>
    <t>Exacator 99</t>
  </si>
  <si>
    <t>Exacator 100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</si>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</sst>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2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501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0.86</v>
      </c>
      <c r="J11" s="6">
        <v>0.74</v>
      </c>
      <c r="K11" s="6">
        <v>60</v>
      </c>
      <c r="L11" s="6"/>
      <c r="M11" s="6">
        <v>1.7</v>
      </c>
      <c r="N11" s="6">
        <v>24</v>
      </c>
      <c r="O11" s="6">
        <f t="shared" ref="O11:O42" si="0">3600*M11*H11*I11*K11/(J11*N11*60)</f>
        <v>290.42432432432435</v>
      </c>
      <c r="P11" s="34">
        <f>MPDM!H118*H11*I11*J11*M11</f>
        <v>120.95723154929577</v>
      </c>
      <c r="Q11" s="34">
        <f>MPDM!K118*H11*I11*J11*M11</f>
        <v>87.784559337626476</v>
      </c>
      <c r="R11" s="35">
        <f>MPDM!H119</f>
        <v>0.37372848200312964</v>
      </c>
      <c r="S11" s="35">
        <f>MPDM!K119</f>
        <v>0.53463491089986082</v>
      </c>
    </row>
    <row r="12" spans="2:19" ht="33" customHeight="1" x14ac:dyDescent="0.2">
      <c r="B12" s="7">
        <v>502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0.86</v>
      </c>
      <c r="J12" s="7">
        <v>0.74</v>
      </c>
      <c r="K12" s="7">
        <v>60</v>
      </c>
      <c r="L12" s="7"/>
      <c r="M12" s="7">
        <v>1.7</v>
      </c>
      <c r="N12" s="7">
        <v>25</v>
      </c>
      <c r="O12" s="7">
        <f t="shared" si="0"/>
        <v>278.80735135135131</v>
      </c>
      <c r="P12" s="7"/>
      <c r="Q12" s="7"/>
      <c r="R12" s="7"/>
      <c r="S12" s="7"/>
    </row>
    <row r="13" spans="2:19" ht="33" customHeight="1" x14ac:dyDescent="0.2">
      <c r="B13" s="7">
        <v>503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0.86</v>
      </c>
      <c r="J13" s="7">
        <v>0.74</v>
      </c>
      <c r="K13" s="7">
        <v>60</v>
      </c>
      <c r="L13" s="7"/>
      <c r="M13" s="7">
        <v>1.7</v>
      </c>
      <c r="N13" s="7">
        <v>36</v>
      </c>
      <c r="O13" s="7">
        <f t="shared" si="0"/>
        <v>193.6162162162162</v>
      </c>
      <c r="P13" s="7"/>
      <c r="Q13" s="7"/>
      <c r="R13" s="7"/>
      <c r="S13" s="7"/>
    </row>
    <row r="14" spans="2:19" ht="33" customHeight="1" x14ac:dyDescent="0.2">
      <c r="B14" s="7">
        <v>504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0.86</v>
      </c>
      <c r="J14" s="7">
        <v>0.74</v>
      </c>
      <c r="K14" s="7">
        <v>60</v>
      </c>
      <c r="L14" s="7"/>
      <c r="M14" s="7">
        <v>1.7</v>
      </c>
      <c r="N14" s="7">
        <v>24</v>
      </c>
      <c r="O14" s="7">
        <f t="shared" si="0"/>
        <v>290.42432432432435</v>
      </c>
      <c r="P14" s="7"/>
      <c r="Q14" s="7"/>
      <c r="R14" s="7"/>
      <c r="S14" s="7"/>
    </row>
    <row r="15" spans="2:19" ht="33" customHeight="1" thickBot="1" x14ac:dyDescent="0.25">
      <c r="B15" s="8">
        <v>505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0.86</v>
      </c>
      <c r="J15" s="8">
        <v>0.74</v>
      </c>
      <c r="K15" s="8">
        <v>60</v>
      </c>
      <c r="L15" s="8"/>
      <c r="M15" s="8">
        <v>1.7</v>
      </c>
      <c r="N15" s="8">
        <v>25</v>
      </c>
      <c r="O15" s="8">
        <f t="shared" si="0"/>
        <v>278.80735135135131</v>
      </c>
      <c r="P15" s="8"/>
      <c r="Q15" s="8"/>
      <c r="R15" s="8"/>
      <c r="S15" s="8"/>
    </row>
    <row r="16" spans="2:19" ht="33" customHeight="1" x14ac:dyDescent="0.2">
      <c r="B16" s="6">
        <v>506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0.86</v>
      </c>
      <c r="J16" s="6">
        <v>0.74</v>
      </c>
      <c r="K16" s="6">
        <v>60</v>
      </c>
      <c r="L16" s="6"/>
      <c r="M16" s="6">
        <v>1.7</v>
      </c>
      <c r="N16" s="6">
        <v>28</v>
      </c>
      <c r="O16" s="6">
        <f t="shared" si="0"/>
        <v>248.93513513513514</v>
      </c>
      <c r="P16" s="6"/>
      <c r="Q16" s="6"/>
      <c r="R16" s="6"/>
      <c r="S16" s="6"/>
    </row>
    <row r="17" spans="2:19" ht="33" customHeight="1" x14ac:dyDescent="0.2">
      <c r="B17" s="7">
        <v>507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0.86</v>
      </c>
      <c r="J17" s="7">
        <v>0.74</v>
      </c>
      <c r="K17" s="7">
        <v>60</v>
      </c>
      <c r="L17" s="7"/>
      <c r="M17" s="7">
        <v>1.7</v>
      </c>
      <c r="N17" s="7">
        <v>23</v>
      </c>
      <c r="O17" s="7">
        <f t="shared" si="0"/>
        <v>303.0514688601645</v>
      </c>
      <c r="P17" s="7"/>
      <c r="Q17" s="7"/>
      <c r="R17" s="7"/>
      <c r="S17" s="7"/>
    </row>
    <row r="18" spans="2:19" ht="33" customHeight="1" x14ac:dyDescent="0.2">
      <c r="B18" s="7">
        <v>508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0.86</v>
      </c>
      <c r="J18" s="7">
        <v>0.74</v>
      </c>
      <c r="K18" s="7">
        <v>60</v>
      </c>
      <c r="L18" s="7"/>
      <c r="M18" s="7">
        <v>1.7</v>
      </c>
      <c r="N18" s="7">
        <v>24</v>
      </c>
      <c r="O18" s="7">
        <f t="shared" si="0"/>
        <v>290.42432432432435</v>
      </c>
      <c r="P18" s="7"/>
      <c r="Q18" s="7"/>
      <c r="R18" s="7"/>
      <c r="S18" s="7"/>
    </row>
    <row r="19" spans="2:19" ht="33" customHeight="1" x14ac:dyDescent="0.2">
      <c r="B19" s="7">
        <v>509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0.86</v>
      </c>
      <c r="J19" s="7">
        <v>0.74</v>
      </c>
      <c r="K19" s="7">
        <v>60</v>
      </c>
      <c r="L19" s="7"/>
      <c r="M19" s="7">
        <v>1.7</v>
      </c>
      <c r="N19" s="7">
        <v>19</v>
      </c>
      <c r="O19" s="7">
        <f t="shared" si="0"/>
        <v>366.8517780938833</v>
      </c>
      <c r="P19" s="7"/>
      <c r="Q19" s="7"/>
      <c r="R19" s="7"/>
      <c r="S19" s="7"/>
    </row>
    <row r="20" spans="2:19" ht="33" customHeight="1" thickBot="1" x14ac:dyDescent="0.25">
      <c r="B20" s="8">
        <v>510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0.86</v>
      </c>
      <c r="J20" s="8">
        <v>0.74</v>
      </c>
      <c r="K20" s="8">
        <v>60</v>
      </c>
      <c r="L20" s="8"/>
      <c r="M20" s="8">
        <v>1.7</v>
      </c>
      <c r="N20" s="8">
        <v>20</v>
      </c>
      <c r="O20" s="8">
        <f t="shared" si="0"/>
        <v>348.50918918918916</v>
      </c>
      <c r="P20" s="8"/>
      <c r="Q20" s="8"/>
      <c r="R20" s="8"/>
      <c r="S20" s="8"/>
    </row>
    <row r="21" spans="2:19" x14ac:dyDescent="0.2">
      <c r="B21" s="6">
        <v>511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1.22</v>
      </c>
      <c r="J21" s="6">
        <v>0.74</v>
      </c>
      <c r="K21" s="6">
        <v>60</v>
      </c>
      <c r="L21" s="6"/>
      <c r="M21" s="6">
        <v>1.7</v>
      </c>
      <c r="N21" s="6">
        <v>20</v>
      </c>
      <c r="O21" s="6">
        <f t="shared" si="0"/>
        <v>494.3967567567567</v>
      </c>
      <c r="P21" s="6"/>
      <c r="Q21" s="6"/>
      <c r="R21" s="6"/>
      <c r="S21" s="6"/>
    </row>
    <row r="22" spans="2:19" x14ac:dyDescent="0.2">
      <c r="B22" s="7">
        <v>512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1.22</v>
      </c>
      <c r="J22" s="7">
        <v>0.74</v>
      </c>
      <c r="K22" s="7">
        <v>60</v>
      </c>
      <c r="L22" s="7"/>
      <c r="M22" s="7">
        <v>1.7</v>
      </c>
      <c r="N22" s="7">
        <v>21</v>
      </c>
      <c r="O22" s="7">
        <f t="shared" si="0"/>
        <v>470.85405405405402</v>
      </c>
      <c r="P22" s="7"/>
      <c r="Q22" s="7"/>
      <c r="R22" s="7"/>
      <c r="S22" s="7"/>
    </row>
    <row r="23" spans="2:19" x14ac:dyDescent="0.2">
      <c r="B23" s="7">
        <v>513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1.22</v>
      </c>
      <c r="J23" s="7">
        <v>0.74</v>
      </c>
      <c r="K23" s="7">
        <v>60</v>
      </c>
      <c r="L23" s="7"/>
      <c r="M23" s="7">
        <v>1.7</v>
      </c>
      <c r="N23" s="7">
        <v>121</v>
      </c>
      <c r="O23" s="7">
        <f t="shared" si="0"/>
        <v>81.718472191199453</v>
      </c>
      <c r="P23" s="7"/>
      <c r="Q23" s="7"/>
      <c r="R23" s="7"/>
      <c r="S23" s="7"/>
    </row>
    <row r="24" spans="2:19" x14ac:dyDescent="0.2">
      <c r="B24" s="7">
        <v>514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1.22</v>
      </c>
      <c r="J24" s="7">
        <v>0.74</v>
      </c>
      <c r="K24" s="7">
        <v>60</v>
      </c>
      <c r="L24" s="7"/>
      <c r="M24" s="7">
        <v>1.7</v>
      </c>
      <c r="N24" s="7">
        <v>18</v>
      </c>
      <c r="O24" s="7">
        <f t="shared" si="0"/>
        <v>549.32972972972959</v>
      </c>
      <c r="P24" s="7"/>
      <c r="Q24" s="7"/>
      <c r="R24" s="7"/>
      <c r="S24" s="7"/>
    </row>
    <row r="25" spans="2:19" ht="16.5" customHeight="1" thickBot="1" x14ac:dyDescent="0.25">
      <c r="B25" s="8">
        <v>515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1.22</v>
      </c>
      <c r="J25" s="8">
        <v>0.74</v>
      </c>
      <c r="K25" s="8">
        <v>60</v>
      </c>
      <c r="L25" s="8"/>
      <c r="M25" s="8">
        <v>1.7</v>
      </c>
      <c r="N25" s="8">
        <v>22</v>
      </c>
      <c r="O25" s="8">
        <f t="shared" si="0"/>
        <v>449.45159705159699</v>
      </c>
      <c r="P25" s="8"/>
      <c r="Q25" s="8"/>
      <c r="R25" s="8"/>
      <c r="S25" s="8"/>
    </row>
    <row r="26" spans="2:19" x14ac:dyDescent="0.2">
      <c r="B26" s="6">
        <v>516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1.22</v>
      </c>
      <c r="J26" s="6">
        <v>0.74</v>
      </c>
      <c r="K26" s="6">
        <v>60</v>
      </c>
      <c r="L26" s="6"/>
      <c r="M26" s="6">
        <v>1.7</v>
      </c>
      <c r="N26" s="6">
        <v>20</v>
      </c>
      <c r="O26" s="6">
        <f t="shared" si="0"/>
        <v>494.3967567567567</v>
      </c>
      <c r="P26" s="6"/>
      <c r="Q26" s="6"/>
      <c r="R26" s="6"/>
      <c r="S26" s="6"/>
    </row>
    <row r="27" spans="2:19" x14ac:dyDescent="0.2">
      <c r="B27" s="7">
        <v>517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1.22</v>
      </c>
      <c r="J27" s="7">
        <v>0.74</v>
      </c>
      <c r="K27" s="7">
        <v>60</v>
      </c>
      <c r="L27" s="7"/>
      <c r="M27" s="7">
        <v>1.7</v>
      </c>
      <c r="N27" s="7">
        <v>21</v>
      </c>
      <c r="O27" s="7">
        <f t="shared" si="0"/>
        <v>470.85405405405402</v>
      </c>
      <c r="P27" s="7"/>
      <c r="Q27" s="7"/>
      <c r="R27" s="7"/>
      <c r="S27" s="7"/>
    </row>
    <row r="28" spans="2:19" x14ac:dyDescent="0.2">
      <c r="B28" s="7">
        <v>518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1.22</v>
      </c>
      <c r="J28" s="7">
        <v>0.74</v>
      </c>
      <c r="K28" s="7">
        <v>60</v>
      </c>
      <c r="L28" s="7"/>
      <c r="M28" s="7">
        <v>1.7</v>
      </c>
      <c r="N28" s="7">
        <v>307</v>
      </c>
      <c r="O28" s="7">
        <f t="shared" si="0"/>
        <v>32.208257769169812</v>
      </c>
      <c r="P28" s="7"/>
      <c r="Q28" s="7"/>
      <c r="R28" s="7"/>
      <c r="S28" s="7"/>
    </row>
    <row r="29" spans="2:19" x14ac:dyDescent="0.2">
      <c r="B29" s="7">
        <v>519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1.22</v>
      </c>
      <c r="J29" s="7">
        <v>0.74</v>
      </c>
      <c r="K29" s="7">
        <v>60</v>
      </c>
      <c r="L29" s="7"/>
      <c r="M29" s="7">
        <v>1.7</v>
      </c>
      <c r="N29" s="7">
        <v>20</v>
      </c>
      <c r="O29" s="7">
        <f t="shared" si="0"/>
        <v>494.3967567567567</v>
      </c>
      <c r="P29" s="7"/>
      <c r="Q29" s="7"/>
      <c r="R29" s="7"/>
      <c r="S29" s="7"/>
    </row>
    <row r="30" spans="2:19" ht="16.5" customHeight="1" thickBot="1" x14ac:dyDescent="0.25">
      <c r="B30" s="8">
        <v>520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1.22</v>
      </c>
      <c r="J30" s="8">
        <v>0.74</v>
      </c>
      <c r="K30" s="8">
        <v>60</v>
      </c>
      <c r="L30" s="8"/>
      <c r="M30" s="8">
        <v>1.7</v>
      </c>
      <c r="N30" s="8">
        <v>21</v>
      </c>
      <c r="O30" s="8">
        <f t="shared" si="0"/>
        <v>470.85405405405402</v>
      </c>
      <c r="P30" s="8"/>
      <c r="Q30" s="8"/>
      <c r="R30" s="8"/>
      <c r="S30" s="8"/>
    </row>
    <row r="31" spans="2:19" x14ac:dyDescent="0.2">
      <c r="B31" s="6">
        <v>521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0.69</v>
      </c>
      <c r="J31" s="6">
        <v>0.74</v>
      </c>
      <c r="K31" s="6">
        <v>60</v>
      </c>
      <c r="L31" s="6"/>
      <c r="M31" s="6">
        <v>1.7</v>
      </c>
      <c r="N31" s="6">
        <v>29</v>
      </c>
      <c r="O31" s="6">
        <f t="shared" si="0"/>
        <v>192.83988816402604</v>
      </c>
      <c r="P31" s="6"/>
      <c r="Q31" s="6"/>
      <c r="R31" s="6"/>
      <c r="S31" s="6"/>
    </row>
    <row r="32" spans="2:19" x14ac:dyDescent="0.2">
      <c r="B32" s="7">
        <v>522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0.69</v>
      </c>
      <c r="J32" s="7">
        <v>0.74</v>
      </c>
      <c r="K32" s="7">
        <v>60</v>
      </c>
      <c r="L32" s="7"/>
      <c r="M32" s="7">
        <v>1.7</v>
      </c>
      <c r="N32" s="7">
        <v>27</v>
      </c>
      <c r="O32" s="7">
        <f t="shared" si="0"/>
        <v>207.12432432432431</v>
      </c>
      <c r="P32" s="7"/>
      <c r="Q32" s="7"/>
      <c r="R32" s="7"/>
      <c r="S32" s="7"/>
    </row>
    <row r="33" spans="2:19" x14ac:dyDescent="0.2">
      <c r="B33" s="7">
        <v>523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0.69</v>
      </c>
      <c r="J33" s="7">
        <v>0.74</v>
      </c>
      <c r="K33" s="7">
        <v>60</v>
      </c>
      <c r="L33" s="7"/>
      <c r="M33" s="7">
        <v>1.7</v>
      </c>
      <c r="N33" s="7">
        <v>27</v>
      </c>
      <c r="O33" s="7">
        <f t="shared" si="0"/>
        <v>207.12432432432431</v>
      </c>
      <c r="P33" s="7"/>
      <c r="Q33" s="7"/>
      <c r="R33" s="7"/>
      <c r="S33" s="7"/>
    </row>
    <row r="34" spans="2:19" x14ac:dyDescent="0.2">
      <c r="B34" s="7">
        <v>524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0.69</v>
      </c>
      <c r="J34" s="7">
        <v>0.74</v>
      </c>
      <c r="K34" s="7">
        <v>60</v>
      </c>
      <c r="L34" s="7"/>
      <c r="M34" s="7">
        <v>1.7</v>
      </c>
      <c r="N34" s="7">
        <v>28</v>
      </c>
      <c r="O34" s="7">
        <f t="shared" si="0"/>
        <v>199.72702702702702</v>
      </c>
      <c r="P34" s="7"/>
      <c r="Q34" s="7"/>
      <c r="R34" s="7"/>
      <c r="S34" s="7"/>
    </row>
    <row r="35" spans="2:19" ht="16.5" customHeight="1" thickBot="1" x14ac:dyDescent="0.25">
      <c r="B35" s="8">
        <v>525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0.69</v>
      </c>
      <c r="J35" s="8">
        <v>0.74</v>
      </c>
      <c r="K35" s="8">
        <v>60</v>
      </c>
      <c r="L35" s="8"/>
      <c r="M35" s="8">
        <v>1.7</v>
      </c>
      <c r="N35" s="8">
        <v>26</v>
      </c>
      <c r="O35" s="8">
        <f t="shared" si="0"/>
        <v>215.09064449064448</v>
      </c>
      <c r="P35" s="8"/>
      <c r="Q35" s="8"/>
      <c r="R35" s="8"/>
      <c r="S35" s="8"/>
    </row>
    <row r="36" spans="2:19" x14ac:dyDescent="0.2">
      <c r="B36" s="6">
        <v>526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0.69</v>
      </c>
      <c r="J36" s="6">
        <v>0.74</v>
      </c>
      <c r="K36" s="6">
        <v>60</v>
      </c>
      <c r="L36" s="6"/>
      <c r="M36" s="6">
        <v>1.7</v>
      </c>
      <c r="N36" s="6">
        <v>29</v>
      </c>
      <c r="O36" s="6">
        <f t="shared" si="0"/>
        <v>192.83988816402604</v>
      </c>
      <c r="P36" s="6"/>
      <c r="Q36" s="6"/>
      <c r="R36" s="6"/>
      <c r="S36" s="6"/>
    </row>
    <row r="37" spans="2:19" x14ac:dyDescent="0.2">
      <c r="B37" s="7">
        <v>527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0.69</v>
      </c>
      <c r="J37" s="7">
        <v>0.74</v>
      </c>
      <c r="K37" s="7">
        <v>60</v>
      </c>
      <c r="L37" s="7"/>
      <c r="M37" s="7">
        <v>1.7</v>
      </c>
      <c r="N37" s="7">
        <v>91</v>
      </c>
      <c r="O37" s="7">
        <f t="shared" si="0"/>
        <v>61.454469854469842</v>
      </c>
      <c r="P37" s="7"/>
      <c r="Q37" s="7"/>
      <c r="R37" s="7"/>
      <c r="S37" s="7"/>
    </row>
    <row r="38" spans="2:19" x14ac:dyDescent="0.2">
      <c r="B38" s="7">
        <v>528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0.69</v>
      </c>
      <c r="J38" s="7">
        <v>0.74</v>
      </c>
      <c r="K38" s="7">
        <v>60</v>
      </c>
      <c r="L38" s="7"/>
      <c r="M38" s="7">
        <v>1.7</v>
      </c>
      <c r="N38" s="7">
        <v>30</v>
      </c>
      <c r="O38" s="7">
        <f t="shared" si="0"/>
        <v>186.41189189189186</v>
      </c>
      <c r="P38" s="7"/>
      <c r="Q38" s="7"/>
      <c r="R38" s="7"/>
      <c r="S38" s="7"/>
    </row>
    <row r="39" spans="2:19" x14ac:dyDescent="0.2">
      <c r="B39" s="7">
        <v>529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0.69</v>
      </c>
      <c r="J39" s="7">
        <v>0.74</v>
      </c>
      <c r="K39" s="7">
        <v>60</v>
      </c>
      <c r="L39" s="7"/>
      <c r="M39" s="7">
        <v>1.7</v>
      </c>
      <c r="N39" s="7">
        <v>27</v>
      </c>
      <c r="O39" s="7">
        <f t="shared" si="0"/>
        <v>207.12432432432431</v>
      </c>
      <c r="P39" s="7"/>
      <c r="Q39" s="7"/>
      <c r="R39" s="7"/>
      <c r="S39" s="7"/>
    </row>
    <row r="40" spans="2:19" ht="16.5" customHeight="1" thickBot="1" x14ac:dyDescent="0.25">
      <c r="B40" s="8">
        <v>530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0.69</v>
      </c>
      <c r="J40" s="8">
        <v>0.74</v>
      </c>
      <c r="K40" s="8">
        <v>60</v>
      </c>
      <c r="L40" s="8"/>
      <c r="M40" s="8">
        <v>1.7</v>
      </c>
      <c r="N40" s="8">
        <v>28</v>
      </c>
      <c r="O40" s="8">
        <f t="shared" si="0"/>
        <v>199.72702702702702</v>
      </c>
      <c r="P40" s="8"/>
      <c r="Q40" s="8"/>
      <c r="R40" s="8"/>
      <c r="S40" s="8"/>
    </row>
    <row r="41" spans="2:19" x14ac:dyDescent="0.2">
      <c r="B41" s="6">
        <v>531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0.69</v>
      </c>
      <c r="J41" s="6">
        <v>0.74</v>
      </c>
      <c r="K41" s="6">
        <v>60</v>
      </c>
      <c r="L41" s="6"/>
      <c r="M41" s="6">
        <v>1.7</v>
      </c>
      <c r="N41" s="6">
        <v>28</v>
      </c>
      <c r="O41" s="6">
        <f t="shared" si="0"/>
        <v>199.72702702702702</v>
      </c>
      <c r="P41" s="6"/>
      <c r="Q41" s="6"/>
      <c r="R41" s="6"/>
      <c r="S41" s="6"/>
    </row>
    <row r="42" spans="2:19" x14ac:dyDescent="0.2">
      <c r="B42" s="7">
        <v>532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0.69</v>
      </c>
      <c r="J42" s="7">
        <v>0.74</v>
      </c>
      <c r="K42" s="7">
        <v>60</v>
      </c>
      <c r="L42" s="7"/>
      <c r="M42" s="7">
        <v>1.7</v>
      </c>
      <c r="N42" s="7">
        <v>26</v>
      </c>
      <c r="O42" s="7">
        <f t="shared" si="0"/>
        <v>215.09064449064448</v>
      </c>
      <c r="P42" s="7"/>
      <c r="Q42" s="7"/>
      <c r="R42" s="7"/>
      <c r="S42" s="7"/>
    </row>
    <row r="43" spans="2:19" x14ac:dyDescent="0.2">
      <c r="B43" s="7">
        <v>533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0.69</v>
      </c>
      <c r="J43" s="7">
        <v>0.74</v>
      </c>
      <c r="K43" s="7">
        <v>60</v>
      </c>
      <c r="L43" s="7"/>
      <c r="M43" s="7">
        <v>1.7</v>
      </c>
      <c r="N43" s="7">
        <v>277</v>
      </c>
      <c r="O43" s="7">
        <f t="shared" ref="O43:O74" si="1">3600*M43*H43*I43*K43/(J43*N43*60)</f>
        <v>20.189013562298758</v>
      </c>
      <c r="P43" s="7"/>
      <c r="Q43" s="7"/>
      <c r="R43" s="7"/>
      <c r="S43" s="7"/>
    </row>
    <row r="44" spans="2:19" x14ac:dyDescent="0.2">
      <c r="B44" s="7">
        <v>534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0.86</v>
      </c>
      <c r="J44" s="7">
        <v>0.74</v>
      </c>
      <c r="K44" s="7">
        <v>60</v>
      </c>
      <c r="L44" s="7"/>
      <c r="M44" s="7">
        <v>1.7</v>
      </c>
      <c r="N44" s="7">
        <v>24</v>
      </c>
      <c r="O44" s="7">
        <f t="shared" si="1"/>
        <v>290.42432432432435</v>
      </c>
      <c r="P44" s="7"/>
      <c r="Q44" s="7"/>
      <c r="R44" s="7"/>
      <c r="S44" s="7"/>
    </row>
    <row r="45" spans="2:19" ht="16.5" customHeight="1" thickBot="1" x14ac:dyDescent="0.25">
      <c r="B45" s="8">
        <v>535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0.86</v>
      </c>
      <c r="J45" s="8">
        <v>0.74</v>
      </c>
      <c r="K45" s="8">
        <v>60</v>
      </c>
      <c r="L45" s="8"/>
      <c r="M45" s="8">
        <v>1.7</v>
      </c>
      <c r="N45" s="8">
        <v>23</v>
      </c>
      <c r="O45" s="8">
        <f t="shared" si="1"/>
        <v>303.0514688601645</v>
      </c>
      <c r="P45" s="8"/>
      <c r="Q45" s="8"/>
      <c r="R45" s="8"/>
      <c r="S45" s="8"/>
    </row>
    <row r="46" spans="2:19" x14ac:dyDescent="0.2">
      <c r="B46" s="6">
        <v>536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0.86</v>
      </c>
      <c r="J46" s="6">
        <v>0.74</v>
      </c>
      <c r="K46" s="6">
        <v>60</v>
      </c>
      <c r="L46" s="6"/>
      <c r="M46" s="6">
        <v>1.7</v>
      </c>
      <c r="N46" s="6">
        <v>25</v>
      </c>
      <c r="O46" s="6">
        <f t="shared" si="1"/>
        <v>278.80735135135131</v>
      </c>
      <c r="P46" s="6"/>
      <c r="Q46" s="6"/>
      <c r="R46" s="6"/>
      <c r="S46" s="6"/>
    </row>
    <row r="47" spans="2:19" x14ac:dyDescent="0.2">
      <c r="B47" s="7">
        <v>537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0.86</v>
      </c>
      <c r="J47" s="7">
        <v>0.74</v>
      </c>
      <c r="K47" s="7">
        <v>60</v>
      </c>
      <c r="L47" s="7"/>
      <c r="M47" s="7">
        <v>1.7</v>
      </c>
      <c r="N47" s="7">
        <v>25</v>
      </c>
      <c r="O47" s="7">
        <f t="shared" si="1"/>
        <v>278.80735135135131</v>
      </c>
      <c r="P47" s="7"/>
      <c r="Q47" s="7"/>
      <c r="R47" s="7"/>
      <c r="S47" s="7"/>
    </row>
    <row r="48" spans="2:19" x14ac:dyDescent="0.2">
      <c r="B48" s="7">
        <v>538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0.86</v>
      </c>
      <c r="J48" s="7">
        <v>0.74</v>
      </c>
      <c r="K48" s="7">
        <v>60</v>
      </c>
      <c r="L48" s="7"/>
      <c r="M48" s="7">
        <v>1.7</v>
      </c>
      <c r="N48" s="7">
        <v>26</v>
      </c>
      <c r="O48" s="7">
        <f t="shared" si="1"/>
        <v>268.08399168399171</v>
      </c>
      <c r="P48" s="7"/>
      <c r="Q48" s="7"/>
      <c r="R48" s="7"/>
      <c r="S48" s="7"/>
    </row>
    <row r="49" spans="2:19" x14ac:dyDescent="0.2">
      <c r="B49" s="7">
        <v>539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0.86</v>
      </c>
      <c r="J49" s="7">
        <v>0.74</v>
      </c>
      <c r="K49" s="7">
        <v>60</v>
      </c>
      <c r="L49" s="7"/>
      <c r="M49" s="7">
        <v>1.7</v>
      </c>
      <c r="N49" s="7">
        <v>27</v>
      </c>
      <c r="O49" s="7">
        <f t="shared" si="1"/>
        <v>258.15495495495492</v>
      </c>
      <c r="P49" s="7"/>
      <c r="Q49" s="7"/>
      <c r="R49" s="7"/>
      <c r="S49" s="7"/>
    </row>
    <row r="50" spans="2:19" ht="16.5" customHeight="1" thickBot="1" x14ac:dyDescent="0.25">
      <c r="B50" s="8">
        <v>540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0.86</v>
      </c>
      <c r="J50" s="8">
        <v>0.74</v>
      </c>
      <c r="K50" s="8">
        <v>60</v>
      </c>
      <c r="L50" s="8"/>
      <c r="M50" s="8">
        <v>1.7</v>
      </c>
      <c r="N50" s="8">
        <v>87</v>
      </c>
      <c r="O50" s="8">
        <f t="shared" si="1"/>
        <v>80.117054986020506</v>
      </c>
      <c r="P50" s="8"/>
      <c r="Q50" s="8"/>
      <c r="R50" s="8"/>
      <c r="S50" s="8"/>
    </row>
    <row r="51" spans="2:19" x14ac:dyDescent="0.2">
      <c r="B51" s="6">
        <v>541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0.86</v>
      </c>
      <c r="J51" s="6">
        <v>0.74</v>
      </c>
      <c r="K51" s="6">
        <v>60</v>
      </c>
      <c r="L51" s="6"/>
      <c r="M51" s="6">
        <v>1.7</v>
      </c>
      <c r="N51" s="6">
        <v>26</v>
      </c>
      <c r="O51" s="6">
        <f t="shared" si="1"/>
        <v>268.08399168399171</v>
      </c>
      <c r="P51" s="6"/>
      <c r="Q51" s="6"/>
      <c r="R51" s="6"/>
      <c r="S51" s="6"/>
    </row>
    <row r="52" spans="2:19" x14ac:dyDescent="0.2">
      <c r="B52" s="7">
        <v>542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0.86</v>
      </c>
      <c r="J52" s="7">
        <v>0.74</v>
      </c>
      <c r="K52" s="7">
        <v>60</v>
      </c>
      <c r="L52" s="7"/>
      <c r="M52" s="7">
        <v>1.7</v>
      </c>
      <c r="N52" s="7">
        <v>29</v>
      </c>
      <c r="O52" s="7">
        <f t="shared" si="1"/>
        <v>240.35116495806147</v>
      </c>
      <c r="P52" s="7"/>
      <c r="Q52" s="7"/>
      <c r="R52" s="7"/>
      <c r="S52" s="7"/>
    </row>
    <row r="53" spans="2:19" x14ac:dyDescent="0.2">
      <c r="B53" s="7">
        <v>543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0.86</v>
      </c>
      <c r="J53" s="7">
        <v>0.74</v>
      </c>
      <c r="K53" s="7">
        <v>60</v>
      </c>
      <c r="L53" s="7"/>
      <c r="M53" s="7">
        <v>1.7</v>
      </c>
      <c r="N53" s="7">
        <v>27</v>
      </c>
      <c r="O53" s="7">
        <f t="shared" si="1"/>
        <v>258.15495495495492</v>
      </c>
      <c r="P53" s="7"/>
      <c r="Q53" s="7"/>
      <c r="R53" s="7"/>
      <c r="S53" s="7"/>
    </row>
    <row r="54" spans="2:19" x14ac:dyDescent="0.2">
      <c r="B54" s="7">
        <v>544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0.86</v>
      </c>
      <c r="J54" s="7">
        <v>0.74</v>
      </c>
      <c r="K54" s="7">
        <v>60</v>
      </c>
      <c r="L54" s="7"/>
      <c r="M54" s="7">
        <v>1.7</v>
      </c>
      <c r="N54" s="7">
        <v>27</v>
      </c>
      <c r="O54" s="7">
        <f t="shared" si="1"/>
        <v>258.15495495495492</v>
      </c>
      <c r="P54" s="7"/>
      <c r="Q54" s="7"/>
      <c r="R54" s="7"/>
      <c r="S54" s="7"/>
    </row>
    <row r="55" spans="2:19" ht="16.5" customHeight="1" thickBot="1" x14ac:dyDescent="0.25">
      <c r="B55" s="8">
        <v>545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0.69</v>
      </c>
      <c r="J55" s="8">
        <v>0.74</v>
      </c>
      <c r="K55" s="8">
        <v>60</v>
      </c>
      <c r="L55" s="8"/>
      <c r="M55" s="8">
        <v>1.7</v>
      </c>
      <c r="N55" s="8">
        <v>28</v>
      </c>
      <c r="O55" s="8">
        <f t="shared" si="1"/>
        <v>199.72702702702702</v>
      </c>
      <c r="P55" s="8"/>
      <c r="Q55" s="8"/>
      <c r="R55" s="8"/>
      <c r="S55" s="8"/>
    </row>
    <row r="56" spans="2:19" x14ac:dyDescent="0.2">
      <c r="B56" s="6">
        <v>546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0.69</v>
      </c>
      <c r="J56" s="6">
        <v>0.74</v>
      </c>
      <c r="K56" s="6">
        <v>60</v>
      </c>
      <c r="L56" s="6"/>
      <c r="M56" s="6">
        <v>1.7</v>
      </c>
      <c r="N56" s="6">
        <v>26</v>
      </c>
      <c r="O56" s="6">
        <f t="shared" si="1"/>
        <v>215.09064449064448</v>
      </c>
      <c r="P56" s="6"/>
      <c r="Q56" s="6"/>
      <c r="R56" s="6"/>
      <c r="S56" s="6"/>
    </row>
    <row r="57" spans="2:19" x14ac:dyDescent="0.2">
      <c r="B57" s="7">
        <v>547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0.69</v>
      </c>
      <c r="J57" s="7">
        <v>0.74</v>
      </c>
      <c r="K57" s="7">
        <v>60</v>
      </c>
      <c r="L57" s="7"/>
      <c r="M57" s="7">
        <v>1.7</v>
      </c>
      <c r="N57" s="7">
        <v>25</v>
      </c>
      <c r="O57" s="7">
        <f t="shared" si="1"/>
        <v>223.69427027027024</v>
      </c>
      <c r="P57" s="7"/>
      <c r="Q57" s="7"/>
      <c r="R57" s="7"/>
      <c r="S57" s="7"/>
    </row>
    <row r="58" spans="2:19" x14ac:dyDescent="0.2">
      <c r="B58" s="7">
        <v>548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0.69</v>
      </c>
      <c r="J58" s="7">
        <v>0.74</v>
      </c>
      <c r="K58" s="7">
        <v>60</v>
      </c>
      <c r="L58" s="7"/>
      <c r="M58" s="7">
        <v>1.7</v>
      </c>
      <c r="N58" s="7">
        <v>122</v>
      </c>
      <c r="O58" s="7">
        <f t="shared" si="1"/>
        <v>45.838989809481603</v>
      </c>
      <c r="P58" s="7"/>
      <c r="Q58" s="7"/>
      <c r="R58" s="7"/>
      <c r="S58" s="7"/>
    </row>
    <row r="59" spans="2:19" x14ac:dyDescent="0.2">
      <c r="B59" s="7">
        <v>549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0.69</v>
      </c>
      <c r="J59" s="7">
        <v>0.74</v>
      </c>
      <c r="K59" s="7">
        <v>60</v>
      </c>
      <c r="L59" s="7"/>
      <c r="M59" s="7">
        <v>1.7</v>
      </c>
      <c r="N59" s="7">
        <v>31</v>
      </c>
      <c r="O59" s="7">
        <f t="shared" si="1"/>
        <v>180.39860505666954</v>
      </c>
      <c r="P59" s="7"/>
      <c r="Q59" s="7"/>
      <c r="R59" s="7"/>
      <c r="S59" s="7"/>
    </row>
    <row r="60" spans="2:19" ht="16.5" customHeight="1" thickBot="1" x14ac:dyDescent="0.25">
      <c r="B60" s="8">
        <v>550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0.69</v>
      </c>
      <c r="J60" s="8">
        <v>0.74</v>
      </c>
      <c r="K60" s="8">
        <v>60</v>
      </c>
      <c r="L60" s="8"/>
      <c r="M60" s="8">
        <v>1.7</v>
      </c>
      <c r="N60" s="8">
        <v>29</v>
      </c>
      <c r="O60" s="8">
        <f t="shared" si="1"/>
        <v>192.83988816402604</v>
      </c>
      <c r="P60" s="8"/>
      <c r="Q60" s="8"/>
      <c r="R60" s="8"/>
      <c r="S60" s="8"/>
    </row>
    <row r="61" spans="2:19" x14ac:dyDescent="0.2">
      <c r="B61" s="6">
        <v>551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0.69</v>
      </c>
      <c r="J61" s="6">
        <v>0.74</v>
      </c>
      <c r="K61" s="6">
        <v>60</v>
      </c>
      <c r="L61" s="6"/>
      <c r="M61" s="6">
        <v>1.7</v>
      </c>
      <c r="N61" s="6">
        <v>29</v>
      </c>
      <c r="O61" s="6">
        <f t="shared" si="1"/>
        <v>192.83988816402604</v>
      </c>
      <c r="P61" s="6"/>
      <c r="Q61" s="6"/>
      <c r="R61" s="6"/>
      <c r="S61" s="6"/>
    </row>
    <row r="62" spans="2:19" x14ac:dyDescent="0.2">
      <c r="B62" s="7">
        <v>552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0.69</v>
      </c>
      <c r="J62" s="7">
        <v>0.74</v>
      </c>
      <c r="K62" s="7">
        <v>60</v>
      </c>
      <c r="L62" s="7"/>
      <c r="M62" s="7">
        <v>1.7</v>
      </c>
      <c r="N62" s="7">
        <v>28</v>
      </c>
      <c r="O62" s="7">
        <f t="shared" si="1"/>
        <v>199.72702702702702</v>
      </c>
      <c r="P62" s="7"/>
      <c r="Q62" s="7"/>
      <c r="R62" s="7"/>
      <c r="S62" s="7"/>
    </row>
    <row r="63" spans="2:19" x14ac:dyDescent="0.2">
      <c r="B63" s="7">
        <v>553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0.69</v>
      </c>
      <c r="J63" s="7">
        <v>0.74</v>
      </c>
      <c r="K63" s="7">
        <v>60</v>
      </c>
      <c r="L63" s="7"/>
      <c r="M63" s="7">
        <v>1.7</v>
      </c>
      <c r="N63" s="7">
        <v>26</v>
      </c>
      <c r="O63" s="7">
        <f t="shared" si="1"/>
        <v>215.09064449064448</v>
      </c>
      <c r="P63" s="7"/>
      <c r="Q63" s="7"/>
      <c r="R63" s="7"/>
      <c r="S63" s="7"/>
    </row>
    <row r="64" spans="2:19" x14ac:dyDescent="0.2">
      <c r="B64" s="7">
        <v>554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0.69</v>
      </c>
      <c r="J64" s="7">
        <v>0.74</v>
      </c>
      <c r="K64" s="7">
        <v>60</v>
      </c>
      <c r="L64" s="7"/>
      <c r="M64" s="7">
        <v>1.7</v>
      </c>
      <c r="N64" s="7">
        <v>27</v>
      </c>
      <c r="O64" s="7">
        <f t="shared" si="1"/>
        <v>207.12432432432431</v>
      </c>
      <c r="P64" s="7"/>
      <c r="Q64" s="7"/>
      <c r="R64" s="7"/>
      <c r="S64" s="7"/>
    </row>
    <row r="65" spans="2:19" ht="16.5" customHeight="1" thickBot="1" x14ac:dyDescent="0.25">
      <c r="B65" s="8">
        <v>555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0.69</v>
      </c>
      <c r="J65" s="8">
        <v>0.74</v>
      </c>
      <c r="K65" s="8">
        <v>60</v>
      </c>
      <c r="L65" s="8"/>
      <c r="M65" s="8">
        <v>1.7</v>
      </c>
      <c r="N65" s="8">
        <v>31</v>
      </c>
      <c r="O65" s="8">
        <f t="shared" si="1"/>
        <v>180.39860505666954</v>
      </c>
      <c r="P65" s="8"/>
      <c r="Q65" s="8"/>
      <c r="R65" s="8"/>
      <c r="S65" s="8"/>
    </row>
    <row r="66" spans="2:19" x14ac:dyDescent="0.2">
      <c r="B66" s="6">
        <v>556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0.69</v>
      </c>
      <c r="J66" s="6">
        <v>0.74</v>
      </c>
      <c r="K66" s="6">
        <v>60</v>
      </c>
      <c r="L66" s="6"/>
      <c r="M66" s="6">
        <v>1.7</v>
      </c>
      <c r="N66" s="6">
        <v>27</v>
      </c>
      <c r="O66" s="6">
        <f t="shared" si="1"/>
        <v>207.12432432432431</v>
      </c>
      <c r="P66" s="6"/>
      <c r="Q66" s="6"/>
      <c r="R66" s="6"/>
      <c r="S66" s="6"/>
    </row>
    <row r="67" spans="2:19" x14ac:dyDescent="0.2">
      <c r="B67" s="7">
        <v>557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1.22</v>
      </c>
      <c r="J67" s="7">
        <v>0.74</v>
      </c>
      <c r="K67" s="7">
        <v>60</v>
      </c>
      <c r="L67" s="7"/>
      <c r="M67" s="7">
        <v>1.7</v>
      </c>
      <c r="N67" s="7">
        <v>405</v>
      </c>
      <c r="O67" s="7">
        <f t="shared" si="1"/>
        <v>24.414654654654651</v>
      </c>
      <c r="P67" s="7"/>
      <c r="Q67" s="7"/>
      <c r="R67" s="7"/>
      <c r="S67" s="7"/>
    </row>
    <row r="68" spans="2:19" x14ac:dyDescent="0.2">
      <c r="B68" s="7">
        <v>558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1.22</v>
      </c>
      <c r="J68" s="7">
        <v>0.74</v>
      </c>
      <c r="K68" s="7">
        <v>60</v>
      </c>
      <c r="L68" s="7"/>
      <c r="M68" s="7">
        <v>1.7</v>
      </c>
      <c r="N68" s="7">
        <v>22</v>
      </c>
      <c r="O68" s="7">
        <f t="shared" si="1"/>
        <v>449.45159705159699</v>
      </c>
      <c r="P68" s="7"/>
      <c r="Q68" s="7"/>
      <c r="R68" s="7"/>
      <c r="S68" s="7"/>
    </row>
    <row r="69" spans="2:19" x14ac:dyDescent="0.2">
      <c r="B69" s="7">
        <v>559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1.22</v>
      </c>
      <c r="J69" s="7">
        <v>0.74</v>
      </c>
      <c r="K69" s="7">
        <v>60</v>
      </c>
      <c r="L69" s="7"/>
      <c r="M69" s="7">
        <v>1.7</v>
      </c>
      <c r="N69" s="7">
        <v>19</v>
      </c>
      <c r="O69" s="7">
        <f t="shared" si="1"/>
        <v>520.41763869132285</v>
      </c>
      <c r="P69" s="7"/>
      <c r="Q69" s="7"/>
      <c r="R69" s="7"/>
      <c r="S69" s="7"/>
    </row>
    <row r="70" spans="2:19" ht="16.5" customHeight="1" thickBot="1" x14ac:dyDescent="0.25">
      <c r="B70" s="8">
        <v>560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1.22</v>
      </c>
      <c r="J70" s="8">
        <v>0.74</v>
      </c>
      <c r="K70" s="8">
        <v>60</v>
      </c>
      <c r="L70" s="8"/>
      <c r="M70" s="8">
        <v>1.7</v>
      </c>
      <c r="N70" s="8">
        <v>20</v>
      </c>
      <c r="O70" s="8">
        <f t="shared" si="1"/>
        <v>494.3967567567567</v>
      </c>
      <c r="P70" s="8"/>
      <c r="Q70" s="8"/>
      <c r="R70" s="8"/>
      <c r="S70" s="8"/>
    </row>
    <row r="71" spans="2:19" x14ac:dyDescent="0.2">
      <c r="B71" s="6">
        <v>561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1.22</v>
      </c>
      <c r="J71" s="6">
        <v>0.74</v>
      </c>
      <c r="K71" s="6">
        <v>60</v>
      </c>
      <c r="L71" s="6"/>
      <c r="M71" s="6">
        <v>1.7</v>
      </c>
      <c r="N71" s="6">
        <v>33</v>
      </c>
      <c r="O71" s="6">
        <f t="shared" si="1"/>
        <v>299.63439803439803</v>
      </c>
      <c r="P71" s="6"/>
      <c r="Q71" s="6"/>
      <c r="R71" s="6"/>
      <c r="S71" s="6"/>
    </row>
    <row r="72" spans="2:19" x14ac:dyDescent="0.2">
      <c r="B72" s="7">
        <v>562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1.22</v>
      </c>
      <c r="J72" s="7">
        <v>0.74</v>
      </c>
      <c r="K72" s="7">
        <v>60</v>
      </c>
      <c r="L72" s="7"/>
      <c r="M72" s="7">
        <v>1.7</v>
      </c>
      <c r="N72" s="7">
        <v>27</v>
      </c>
      <c r="O72" s="7">
        <f t="shared" si="1"/>
        <v>366.2198198198198</v>
      </c>
      <c r="P72" s="7"/>
      <c r="Q72" s="7"/>
      <c r="R72" s="7"/>
      <c r="S72" s="7"/>
    </row>
    <row r="73" spans="2:19" x14ac:dyDescent="0.2">
      <c r="B73" s="7">
        <v>563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1.22</v>
      </c>
      <c r="J73" s="7">
        <v>0.74</v>
      </c>
      <c r="K73" s="7">
        <v>60</v>
      </c>
      <c r="L73" s="7"/>
      <c r="M73" s="7">
        <v>1.7</v>
      </c>
      <c r="N73" s="7">
        <v>18</v>
      </c>
      <c r="O73" s="7">
        <f t="shared" si="1"/>
        <v>549.32972972972959</v>
      </c>
      <c r="P73" s="7"/>
      <c r="Q73" s="7"/>
      <c r="R73" s="7"/>
      <c r="S73" s="7"/>
    </row>
    <row r="74" spans="2:19" x14ac:dyDescent="0.2">
      <c r="B74" s="7">
        <v>564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1.22</v>
      </c>
      <c r="J74" s="7">
        <v>0.74</v>
      </c>
      <c r="K74" s="7">
        <v>60</v>
      </c>
      <c r="L74" s="7"/>
      <c r="M74" s="7">
        <v>1.7</v>
      </c>
      <c r="N74" s="7">
        <v>22</v>
      </c>
      <c r="O74" s="7">
        <f t="shared" si="1"/>
        <v>449.45159705159699</v>
      </c>
      <c r="P74" s="7"/>
      <c r="Q74" s="7"/>
      <c r="R74" s="7"/>
      <c r="S74" s="7"/>
    </row>
    <row r="75" spans="2:19" ht="16.5" customHeight="1" thickBot="1" x14ac:dyDescent="0.25">
      <c r="B75" s="8">
        <v>565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1</v>
      </c>
      <c r="J75" s="8">
        <v>0.74</v>
      </c>
      <c r="K75" s="8">
        <v>60</v>
      </c>
      <c r="L75" s="8"/>
      <c r="M75" s="8">
        <v>1.7</v>
      </c>
      <c r="N75" s="8">
        <v>27</v>
      </c>
      <c r="O75" s="8">
        <f t="shared" ref="O75:O106" si="2">3600*M75*H75*I75*K75/(J75*N75*60)</f>
        <v>300.18018018018012</v>
      </c>
      <c r="P75" s="8"/>
      <c r="Q75" s="8"/>
      <c r="R75" s="8"/>
      <c r="S75" s="8"/>
    </row>
    <row r="76" spans="2:19" x14ac:dyDescent="0.2">
      <c r="B76" s="6">
        <v>566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1</v>
      </c>
      <c r="J76" s="6">
        <v>0.74</v>
      </c>
      <c r="K76" s="6">
        <v>60</v>
      </c>
      <c r="L76" s="6"/>
      <c r="M76" s="6">
        <v>1.7</v>
      </c>
      <c r="N76" s="6">
        <v>95</v>
      </c>
      <c r="O76" s="6">
        <f t="shared" si="2"/>
        <v>85.314366998577512</v>
      </c>
      <c r="P76" s="6"/>
      <c r="Q76" s="6"/>
      <c r="R76" s="6"/>
      <c r="S76" s="6"/>
    </row>
    <row r="77" spans="2:19" x14ac:dyDescent="0.2">
      <c r="B77" s="7">
        <v>567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1</v>
      </c>
      <c r="J77" s="7">
        <v>0.74</v>
      </c>
      <c r="K77" s="7">
        <v>60</v>
      </c>
      <c r="L77" s="7"/>
      <c r="M77" s="7">
        <v>1.7</v>
      </c>
      <c r="N77" s="7">
        <v>22</v>
      </c>
      <c r="O77" s="7">
        <f t="shared" si="2"/>
        <v>368.40294840294831</v>
      </c>
      <c r="P77" s="7"/>
      <c r="Q77" s="7"/>
      <c r="R77" s="7"/>
      <c r="S77" s="7"/>
    </row>
    <row r="78" spans="2:19" x14ac:dyDescent="0.2">
      <c r="B78" s="7">
        <v>568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1</v>
      </c>
      <c r="J78" s="7">
        <v>0.74</v>
      </c>
      <c r="K78" s="7">
        <v>60</v>
      </c>
      <c r="L78" s="7"/>
      <c r="M78" s="7">
        <v>1.7</v>
      </c>
      <c r="N78" s="7">
        <v>24</v>
      </c>
      <c r="O78" s="7">
        <f t="shared" si="2"/>
        <v>337.70270270270265</v>
      </c>
      <c r="P78" s="7"/>
      <c r="Q78" s="7"/>
      <c r="R78" s="7"/>
      <c r="S78" s="7"/>
    </row>
    <row r="79" spans="2:19" x14ac:dyDescent="0.2">
      <c r="B79" s="7">
        <v>569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1</v>
      </c>
      <c r="J79" s="7">
        <v>0.74</v>
      </c>
      <c r="K79" s="7">
        <v>60</v>
      </c>
      <c r="L79" s="7"/>
      <c r="M79" s="7">
        <v>1.7</v>
      </c>
      <c r="N79" s="7">
        <v>27</v>
      </c>
      <c r="O79" s="7">
        <f t="shared" si="2"/>
        <v>300.18018018018012</v>
      </c>
      <c r="P79" s="7"/>
      <c r="Q79" s="7"/>
      <c r="R79" s="7"/>
      <c r="S79" s="7"/>
    </row>
    <row r="80" spans="2:19" ht="16.5" customHeight="1" thickBot="1" x14ac:dyDescent="0.25">
      <c r="B80" s="8">
        <v>570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1</v>
      </c>
      <c r="J80" s="8">
        <v>0.74</v>
      </c>
      <c r="K80" s="8">
        <v>60</v>
      </c>
      <c r="L80" s="8"/>
      <c r="M80" s="8">
        <v>1.7</v>
      </c>
      <c r="N80" s="8">
        <v>92</v>
      </c>
      <c r="O80" s="8">
        <f t="shared" si="2"/>
        <v>88.096357226791994</v>
      </c>
      <c r="P80" s="8"/>
      <c r="Q80" s="8"/>
      <c r="R80" s="8"/>
      <c r="S80" s="8"/>
    </row>
    <row r="81" spans="2:19" x14ac:dyDescent="0.2">
      <c r="B81" s="6">
        <v>571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1</v>
      </c>
      <c r="J81" s="6">
        <v>0.74</v>
      </c>
      <c r="K81" s="6">
        <v>60</v>
      </c>
      <c r="L81" s="6"/>
      <c r="M81" s="6">
        <v>1.7</v>
      </c>
      <c r="N81" s="6">
        <v>25</v>
      </c>
      <c r="O81" s="6">
        <f t="shared" si="2"/>
        <v>324.19459459459455</v>
      </c>
      <c r="P81" s="6"/>
      <c r="Q81" s="6"/>
      <c r="R81" s="6"/>
      <c r="S81" s="6"/>
    </row>
    <row r="82" spans="2:19" x14ac:dyDescent="0.2">
      <c r="B82" s="7">
        <v>572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1</v>
      </c>
      <c r="J82" s="7">
        <v>0.74</v>
      </c>
      <c r="K82" s="7">
        <v>60</v>
      </c>
      <c r="L82" s="7"/>
      <c r="M82" s="7">
        <v>1.7</v>
      </c>
      <c r="N82" s="7">
        <v>25</v>
      </c>
      <c r="O82" s="7">
        <f t="shared" si="2"/>
        <v>324.19459459459455</v>
      </c>
      <c r="P82" s="7"/>
      <c r="Q82" s="7"/>
      <c r="R82" s="7"/>
      <c r="S82" s="7"/>
    </row>
    <row r="83" spans="2:19" x14ac:dyDescent="0.2">
      <c r="B83" s="7">
        <v>573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1</v>
      </c>
      <c r="J83" s="7">
        <v>0.74</v>
      </c>
      <c r="K83" s="7">
        <v>60</v>
      </c>
      <c r="L83" s="7"/>
      <c r="M83" s="7">
        <v>1.7</v>
      </c>
      <c r="N83" s="7">
        <v>26</v>
      </c>
      <c r="O83" s="7">
        <f t="shared" si="2"/>
        <v>311.72557172557174</v>
      </c>
      <c r="P83" s="7"/>
      <c r="Q83" s="7"/>
      <c r="R83" s="7"/>
      <c r="S83" s="7"/>
    </row>
    <row r="84" spans="2:19" x14ac:dyDescent="0.2">
      <c r="B84" s="7">
        <v>574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1.22</v>
      </c>
      <c r="J84" s="7">
        <v>0.74</v>
      </c>
      <c r="K84" s="7">
        <v>60</v>
      </c>
      <c r="L84" s="7"/>
      <c r="M84" s="7">
        <v>1.7</v>
      </c>
      <c r="N84" s="7">
        <v>23</v>
      </c>
      <c r="O84" s="7">
        <f t="shared" si="2"/>
        <v>429.91022326674499</v>
      </c>
      <c r="P84" s="7"/>
      <c r="Q84" s="7"/>
      <c r="R84" s="7"/>
      <c r="S84" s="7"/>
    </row>
    <row r="85" spans="2:19" ht="16.5" customHeight="1" thickBot="1" x14ac:dyDescent="0.25">
      <c r="B85" s="8">
        <v>575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1.22</v>
      </c>
      <c r="J85" s="8">
        <v>0.74</v>
      </c>
      <c r="K85" s="8">
        <v>60</v>
      </c>
      <c r="L85" s="8"/>
      <c r="M85" s="8">
        <v>1.7</v>
      </c>
      <c r="N85" s="8">
        <v>22</v>
      </c>
      <c r="O85" s="8">
        <f t="shared" si="2"/>
        <v>449.45159705159699</v>
      </c>
      <c r="P85" s="8"/>
      <c r="Q85" s="8"/>
      <c r="R85" s="8"/>
      <c r="S85" s="8"/>
    </row>
    <row r="86" spans="2:19" x14ac:dyDescent="0.2">
      <c r="B86" s="6" t="s">
        <v>31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 t="e">
        <f t="shared" si="2"/>
        <v>#DIV/0!</v>
      </c>
      <c r="P86" s="6"/>
      <c r="Q86" s="6"/>
      <c r="R86" s="6"/>
      <c r="S86" s="6"/>
    </row>
    <row r="87" spans="2:19" x14ac:dyDescent="0.2">
      <c r="B87" s="7" t="s">
        <v>32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 t="e">
        <f t="shared" si="2"/>
        <v>#DIV/0!</v>
      </c>
      <c r="P87" s="7"/>
      <c r="Q87" s="7"/>
      <c r="R87" s="7"/>
      <c r="S87" s="7"/>
    </row>
    <row r="88" spans="2:19" x14ac:dyDescent="0.2">
      <c r="B88" s="7" t="s">
        <v>33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 t="e">
        <f t="shared" si="2"/>
        <v>#DIV/0!</v>
      </c>
      <c r="P88" s="7"/>
      <c r="Q88" s="7"/>
      <c r="R88" s="7"/>
      <c r="S88" s="7"/>
    </row>
    <row r="89" spans="2:19" x14ac:dyDescent="0.2">
      <c r="B89" s="7" t="s">
        <v>34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 t="e">
        <f t="shared" si="2"/>
        <v>#DIV/0!</v>
      </c>
      <c r="P89" s="7"/>
      <c r="Q89" s="7"/>
      <c r="R89" s="7"/>
      <c r="S89" s="7"/>
    </row>
    <row r="90" spans="2:19" ht="16.5" customHeight="1" thickBot="1" x14ac:dyDescent="0.25">
      <c r="B90" s="8" t="s">
        <v>35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 t="e">
        <f t="shared" si="2"/>
        <v>#DIV/0!</v>
      </c>
      <c r="P90" s="8"/>
      <c r="Q90" s="8"/>
      <c r="R90" s="8"/>
      <c r="S90" s="8"/>
    </row>
    <row r="91" spans="2:19" x14ac:dyDescent="0.2">
      <c r="B91" s="6" t="s">
        <v>36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 t="e">
        <f t="shared" si="2"/>
        <v>#DIV/0!</v>
      </c>
      <c r="P91" s="6"/>
      <c r="Q91" s="6"/>
      <c r="R91" s="6"/>
      <c r="S91" s="6"/>
    </row>
    <row r="92" spans="2:19" x14ac:dyDescent="0.2">
      <c r="B92" s="7" t="s">
        <v>37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 t="e">
        <f t="shared" si="2"/>
        <v>#DIV/0!</v>
      </c>
      <c r="P92" s="7"/>
      <c r="Q92" s="7"/>
      <c r="R92" s="7"/>
      <c r="S92" s="7"/>
    </row>
    <row r="93" spans="2:19" x14ac:dyDescent="0.2">
      <c r="B93" s="7" t="s">
        <v>38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 t="e">
        <f t="shared" si="2"/>
        <v>#DIV/0!</v>
      </c>
      <c r="P93" s="7"/>
      <c r="Q93" s="7"/>
      <c r="R93" s="7"/>
      <c r="S93" s="7"/>
    </row>
    <row r="94" spans="2:19" x14ac:dyDescent="0.2">
      <c r="B94" s="7" t="s">
        <v>39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 t="e">
        <f t="shared" si="2"/>
        <v>#DIV/0!</v>
      </c>
      <c r="P94" s="7"/>
      <c r="Q94" s="7"/>
      <c r="R94" s="7"/>
      <c r="S94" s="7"/>
    </row>
    <row r="95" spans="2:19" ht="16.5" customHeight="1" thickBot="1" x14ac:dyDescent="0.25">
      <c r="B95" s="8" t="s">
        <v>40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 t="e">
        <f t="shared" si="2"/>
        <v>#DIV/0!</v>
      </c>
      <c r="P95" s="8"/>
      <c r="Q95" s="8"/>
      <c r="R95" s="8"/>
      <c r="S95" s="8"/>
    </row>
    <row r="96" spans="2:19" x14ac:dyDescent="0.2">
      <c r="B96" s="6" t="s">
        <v>41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 t="e">
        <f t="shared" si="2"/>
        <v>#DIV/0!</v>
      </c>
      <c r="P96" s="6"/>
      <c r="Q96" s="6"/>
      <c r="R96" s="6"/>
      <c r="S96" s="6"/>
    </row>
    <row r="97" spans="2:19" x14ac:dyDescent="0.2">
      <c r="B97" s="7" t="s">
        <v>42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 t="e">
        <f t="shared" si="2"/>
        <v>#DIV/0!</v>
      </c>
      <c r="P97" s="7"/>
      <c r="Q97" s="7"/>
      <c r="R97" s="7"/>
      <c r="S97" s="7"/>
    </row>
    <row r="98" spans="2:19" x14ac:dyDescent="0.2">
      <c r="B98" s="7" t="s">
        <v>43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 t="e">
        <f t="shared" si="2"/>
        <v>#DIV/0!</v>
      </c>
      <c r="P98" s="7"/>
      <c r="Q98" s="7"/>
      <c r="R98" s="7"/>
      <c r="S98" s="7"/>
    </row>
    <row r="99" spans="2:19" x14ac:dyDescent="0.2">
      <c r="B99" s="7" t="s">
        <v>44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 t="e">
        <f t="shared" si="2"/>
        <v>#DIV/0!</v>
      </c>
      <c r="P99" s="7"/>
      <c r="Q99" s="7"/>
      <c r="R99" s="7"/>
      <c r="S99" s="7"/>
    </row>
    <row r="100" spans="2:19" ht="16.5" customHeight="1" thickBot="1" x14ac:dyDescent="0.25">
      <c r="B100" s="8" t="s">
        <v>45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 t="e">
        <f t="shared" si="2"/>
        <v>#DIV/0!</v>
      </c>
      <c r="P100" s="8"/>
      <c r="Q100" s="8"/>
      <c r="R100" s="8"/>
      <c r="S100" s="8"/>
    </row>
    <row r="101" spans="2:19" x14ac:dyDescent="0.2">
      <c r="B101" s="6" t="s">
        <v>46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 t="e">
        <f t="shared" si="2"/>
        <v>#DIV/0!</v>
      </c>
      <c r="P101" s="6"/>
      <c r="Q101" s="6"/>
      <c r="R101" s="6"/>
      <c r="S101" s="6"/>
    </row>
    <row r="102" spans="2:19" x14ac:dyDescent="0.2">
      <c r="B102" s="7" t="s">
        <v>47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 t="e">
        <f t="shared" si="2"/>
        <v>#DIV/0!</v>
      </c>
      <c r="P102" s="7"/>
      <c r="Q102" s="7"/>
      <c r="R102" s="7"/>
      <c r="S102" s="7"/>
    </row>
    <row r="103" spans="2:19" x14ac:dyDescent="0.2">
      <c r="B103" s="7" t="s">
        <v>48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 t="e">
        <f t="shared" si="2"/>
        <v>#DIV/0!</v>
      </c>
      <c r="P103" s="7"/>
      <c r="Q103" s="7"/>
      <c r="R103" s="7"/>
      <c r="S103" s="7"/>
    </row>
    <row r="104" spans="2:19" x14ac:dyDescent="0.2">
      <c r="B104" s="7" t="s">
        <v>49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 t="e">
        <f t="shared" si="2"/>
        <v>#DIV/0!</v>
      </c>
      <c r="P104" s="7"/>
      <c r="Q104" s="7"/>
      <c r="R104" s="7"/>
      <c r="S104" s="7"/>
    </row>
    <row r="105" spans="2:19" ht="16.5" customHeight="1" thickBot="1" x14ac:dyDescent="0.25">
      <c r="B105" s="8" t="s">
        <v>50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 t="e">
        <f t="shared" si="2"/>
        <v>#DIV/0!</v>
      </c>
      <c r="P105" s="8"/>
      <c r="Q105" s="8"/>
      <c r="R105" s="8"/>
      <c r="S105" s="8"/>
    </row>
    <row r="106" spans="2:19" x14ac:dyDescent="0.2">
      <c r="B106" s="6" t="s">
        <v>51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 t="e">
        <f t="shared" si="2"/>
        <v>#DIV/0!</v>
      </c>
      <c r="P106" s="6"/>
      <c r="Q106" s="6"/>
      <c r="R106" s="6"/>
      <c r="S106" s="6"/>
    </row>
    <row r="107" spans="2:19" x14ac:dyDescent="0.2">
      <c r="B107" s="7" t="s">
        <v>52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 t="e">
        <f t="shared" ref="O107:O138" si="3">3600*M107*H107*I107*K107/(J107*N107*60)</f>
        <v>#DIV/0!</v>
      </c>
      <c r="P107" s="7"/>
      <c r="Q107" s="7"/>
      <c r="R107" s="7"/>
      <c r="S107" s="7"/>
    </row>
    <row r="108" spans="2:19" x14ac:dyDescent="0.2">
      <c r="B108" s="7" t="s">
        <v>53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 t="e">
        <f t="shared" si="3"/>
        <v>#DIV/0!</v>
      </c>
      <c r="P108" s="7"/>
      <c r="Q108" s="7"/>
      <c r="R108" s="7"/>
      <c r="S108" s="7"/>
    </row>
    <row r="109" spans="2:19" x14ac:dyDescent="0.2">
      <c r="B109" s="7" t="s">
        <v>54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 t="e">
        <f t="shared" si="3"/>
        <v>#DIV/0!</v>
      </c>
      <c r="P109" s="7"/>
      <c r="Q109" s="7"/>
      <c r="R109" s="7"/>
      <c r="S109" s="7"/>
    </row>
    <row r="110" spans="2:19" ht="16.5" customHeight="1" thickBot="1" x14ac:dyDescent="0.25">
      <c r="B110" s="8" t="s">
        <v>55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 t="e">
        <f t="shared" si="3"/>
        <v>#DIV/0!</v>
      </c>
      <c r="P110" s="8"/>
      <c r="Q110" s="8"/>
      <c r="R110" s="8"/>
      <c r="S110" s="8"/>
    </row>
    <row r="111" spans="2:19" s="4" customFormat="1" x14ac:dyDescent="0.2">
      <c r="B111" s="44" t="s">
        <v>56</v>
      </c>
      <c r="C111" s="45"/>
      <c r="D111" s="45"/>
      <c r="E111" s="45"/>
      <c r="F111" s="45"/>
      <c r="G111" s="45"/>
      <c r="H111" s="4">
        <f>AVERAGE(H11:H110)</f>
        <v>0.97999999999999921</v>
      </c>
      <c r="I111" s="4">
        <f>AVERAGE(I11:I110)</f>
        <v>0.91613333333333302</v>
      </c>
      <c r="J111" s="4">
        <f>AVERAGE(J11:J110)</f>
        <v>0.74000000000000032</v>
      </c>
      <c r="K111" s="4">
        <f>AVERAGE(K11:K110)</f>
        <v>60</v>
      </c>
      <c r="M111" s="4">
        <f>AVERAGE(M11:M110)</f>
        <v>1.700000000000002</v>
      </c>
      <c r="N111" s="4">
        <f>AVERAGE(N11:N110)</f>
        <v>43.48</v>
      </c>
      <c r="O111" s="4" t="e">
        <f>AVERAGE(O11:O110)</f>
        <v>#DIV/0!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58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59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60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61</v>
      </c>
      <c r="B8" s="43"/>
      <c r="C8" s="2"/>
      <c r="F8" s="14" t="s">
        <v>62</v>
      </c>
      <c r="G8" s="13" t="s">
        <v>63</v>
      </c>
    </row>
    <row r="9" spans="1:27" ht="27" customHeight="1" thickBot="1" x14ac:dyDescent="0.25">
      <c r="A9" s="12" t="s">
        <v>64</v>
      </c>
      <c r="B9" s="43" t="s">
        <v>65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66</v>
      </c>
      <c r="B11" s="48" t="s">
        <v>67</v>
      </c>
      <c r="C11" s="48" t="s">
        <v>68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69</v>
      </c>
      <c r="P11" s="55"/>
      <c r="Q11" s="55"/>
      <c r="R11" s="55"/>
      <c r="S11" s="55"/>
      <c r="T11" s="53"/>
      <c r="V11" s="48" t="s">
        <v>69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70</v>
      </c>
      <c r="D12" s="5" t="s">
        <v>71</v>
      </c>
      <c r="E12" s="5" t="s">
        <v>72</v>
      </c>
      <c r="F12" s="5" t="s">
        <v>73</v>
      </c>
      <c r="G12" s="5" t="s">
        <v>74</v>
      </c>
      <c r="H12" s="5" t="s">
        <v>75</v>
      </c>
      <c r="I12" s="5" t="s">
        <v>76</v>
      </c>
      <c r="J12" s="5" t="s">
        <v>77</v>
      </c>
      <c r="K12" s="5" t="s">
        <v>78</v>
      </c>
      <c r="L12" s="5" t="s">
        <v>79</v>
      </c>
      <c r="M12" s="5" t="s">
        <v>80</v>
      </c>
      <c r="O12" s="5" t="s">
        <v>70</v>
      </c>
      <c r="P12" s="5" t="s">
        <v>71</v>
      </c>
      <c r="Q12" s="5" t="s">
        <v>72</v>
      </c>
      <c r="R12" s="5" t="s">
        <v>73</v>
      </c>
      <c r="S12" s="5" t="s">
        <v>74</v>
      </c>
      <c r="T12" s="5" t="s">
        <v>75</v>
      </c>
      <c r="V12" s="5" t="s">
        <v>70</v>
      </c>
      <c r="W12" s="5" t="s">
        <v>71</v>
      </c>
      <c r="X12" s="5" t="s">
        <v>72</v>
      </c>
      <c r="Y12" s="5" t="s">
        <v>73</v>
      </c>
      <c r="Z12" s="5" t="s">
        <v>74</v>
      </c>
      <c r="AA12" s="5" t="s">
        <v>75</v>
      </c>
    </row>
    <row r="13" spans="1:27" ht="33" customHeight="1" x14ac:dyDescent="0.2">
      <c r="A13" s="17">
        <v>1</v>
      </c>
      <c r="B13" s="18">
        <v>24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0</v>
      </c>
      <c r="J13" s="19">
        <f t="shared" ref="J13:J44" si="7">IF(I13&gt;0,0,B13)</f>
        <v>24</v>
      </c>
      <c r="K13" s="19">
        <f t="shared" ref="K13:K44" si="8">IF(I13&gt;0,B13,0)</f>
        <v>0</v>
      </c>
      <c r="L13" s="20">
        <f t="shared" ref="L13:L44" si="9">IF(B13&gt;0,(ABS(B13-$J$115)),0)</f>
        <v>7.5555555555555571</v>
      </c>
      <c r="M13" s="20">
        <f t="shared" ref="M13:M44" si="10">IF(I13&gt;0,0,L13)</f>
        <v>7.5555555555555571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>
        <v>25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25</v>
      </c>
      <c r="K14" s="19">
        <f t="shared" si="8"/>
        <v>0</v>
      </c>
      <c r="L14" s="20">
        <f t="shared" si="9"/>
        <v>6.5555555555555571</v>
      </c>
      <c r="M14" s="20">
        <f t="shared" si="10"/>
        <v>6.5555555555555571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36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36</v>
      </c>
      <c r="K15" s="19">
        <f t="shared" si="8"/>
        <v>0</v>
      </c>
      <c r="L15" s="20">
        <f t="shared" si="9"/>
        <v>4.4444444444444429</v>
      </c>
      <c r="M15" s="20">
        <f t="shared" si="10"/>
        <v>4.4444444444444429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24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24</v>
      </c>
      <c r="K16" s="19">
        <f t="shared" si="8"/>
        <v>0</v>
      </c>
      <c r="L16" s="20">
        <f t="shared" si="9"/>
        <v>7.5555555555555571</v>
      </c>
      <c r="M16" s="20">
        <f t="shared" si="10"/>
        <v>7.5555555555555571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25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25</v>
      </c>
      <c r="K17" s="19">
        <f t="shared" si="8"/>
        <v>0</v>
      </c>
      <c r="L17" s="20">
        <f t="shared" si="9"/>
        <v>6.5555555555555571</v>
      </c>
      <c r="M17" s="20">
        <f t="shared" si="10"/>
        <v>6.5555555555555571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28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28</v>
      </c>
      <c r="K18" s="19">
        <f t="shared" si="8"/>
        <v>0</v>
      </c>
      <c r="L18" s="20">
        <f t="shared" si="9"/>
        <v>3.5555555555555571</v>
      </c>
      <c r="M18" s="20">
        <f t="shared" si="10"/>
        <v>3.5555555555555571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23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23</v>
      </c>
      <c r="K19" s="19">
        <f t="shared" si="8"/>
        <v>0</v>
      </c>
      <c r="L19" s="20">
        <f t="shared" si="9"/>
        <v>8.5555555555555571</v>
      </c>
      <c r="M19" s="20">
        <f t="shared" si="10"/>
        <v>8.5555555555555571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24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24</v>
      </c>
      <c r="K20" s="19">
        <f t="shared" si="8"/>
        <v>0</v>
      </c>
      <c r="L20" s="20">
        <f t="shared" si="9"/>
        <v>7.5555555555555571</v>
      </c>
      <c r="M20" s="20">
        <f t="shared" si="10"/>
        <v>7.5555555555555571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19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19</v>
      </c>
      <c r="K21" s="19">
        <f t="shared" si="8"/>
        <v>0</v>
      </c>
      <c r="L21" s="20">
        <f t="shared" si="9"/>
        <v>12.555555555555557</v>
      </c>
      <c r="M21" s="20">
        <f t="shared" si="10"/>
        <v>12.555555555555557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20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20</v>
      </c>
      <c r="K22" s="19">
        <f t="shared" si="8"/>
        <v>0</v>
      </c>
      <c r="L22" s="20">
        <f t="shared" si="9"/>
        <v>11.555555555555557</v>
      </c>
      <c r="M22" s="20">
        <f t="shared" si="10"/>
        <v>11.555555555555557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20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20</v>
      </c>
      <c r="K23" s="19">
        <f t="shared" si="8"/>
        <v>0</v>
      </c>
      <c r="L23" s="20">
        <f t="shared" si="9"/>
        <v>11.555555555555557</v>
      </c>
      <c r="M23" s="20">
        <f t="shared" si="10"/>
        <v>11.555555555555557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21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21</v>
      </c>
      <c r="K24" s="19">
        <f t="shared" si="8"/>
        <v>0</v>
      </c>
      <c r="L24" s="20">
        <f t="shared" si="9"/>
        <v>10.555555555555557</v>
      </c>
      <c r="M24" s="20">
        <f t="shared" si="10"/>
        <v>10.555555555555557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121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121</v>
      </c>
      <c r="K25" s="19">
        <f t="shared" si="8"/>
        <v>0</v>
      </c>
      <c r="L25" s="20">
        <f t="shared" si="9"/>
        <v>89.444444444444443</v>
      </c>
      <c r="M25" s="20">
        <f t="shared" si="10"/>
        <v>89.444444444444443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18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18</v>
      </c>
      <c r="K26" s="19">
        <f t="shared" si="8"/>
        <v>0</v>
      </c>
      <c r="L26" s="20">
        <f t="shared" si="9"/>
        <v>13.555555555555557</v>
      </c>
      <c r="M26" s="20">
        <f t="shared" si="10"/>
        <v>13.555555555555557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22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22</v>
      </c>
      <c r="K27" s="19">
        <f t="shared" si="8"/>
        <v>0</v>
      </c>
      <c r="L27" s="20">
        <f t="shared" si="9"/>
        <v>9.5555555555555571</v>
      </c>
      <c r="M27" s="20">
        <f t="shared" si="10"/>
        <v>9.5555555555555571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20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20</v>
      </c>
      <c r="K28" s="19">
        <f t="shared" si="8"/>
        <v>0</v>
      </c>
      <c r="L28" s="20">
        <f t="shared" si="9"/>
        <v>11.555555555555557</v>
      </c>
      <c r="M28" s="20">
        <f t="shared" si="10"/>
        <v>11.555555555555557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21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21</v>
      </c>
      <c r="K29" s="19">
        <f t="shared" si="8"/>
        <v>0</v>
      </c>
      <c r="L29" s="20">
        <f t="shared" si="9"/>
        <v>10.555555555555557</v>
      </c>
      <c r="M29" s="20">
        <f t="shared" si="10"/>
        <v>10.555555555555557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307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1</v>
      </c>
      <c r="H30" s="36">
        <f t="shared" si="5"/>
        <v>0</v>
      </c>
      <c r="I30" s="19">
        <f t="shared" si="6"/>
        <v>1</v>
      </c>
      <c r="J30" s="19">
        <f t="shared" si="7"/>
        <v>0</v>
      </c>
      <c r="K30" s="19">
        <f t="shared" si="8"/>
        <v>307</v>
      </c>
      <c r="L30" s="20">
        <f t="shared" si="9"/>
        <v>275.44444444444446</v>
      </c>
      <c r="M30" s="20">
        <f t="shared" si="10"/>
        <v>0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275.44444444444446</v>
      </c>
      <c r="T30" s="20">
        <f t="shared" si="16"/>
        <v>0</v>
      </c>
      <c r="V30" s="20"/>
      <c r="W30" s="20"/>
      <c r="X30" s="20"/>
      <c r="Y30" s="20"/>
      <c r="Z30" s="20">
        <v>285</v>
      </c>
      <c r="AA30" s="20"/>
    </row>
    <row r="31" spans="1:27" ht="33" customHeight="1" x14ac:dyDescent="0.2">
      <c r="A31" s="17">
        <v>19</v>
      </c>
      <c r="B31" s="21">
        <v>20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20</v>
      </c>
      <c r="K31" s="19">
        <f t="shared" si="8"/>
        <v>0</v>
      </c>
      <c r="L31" s="20">
        <f t="shared" si="9"/>
        <v>11.555555555555557</v>
      </c>
      <c r="M31" s="20">
        <f t="shared" si="10"/>
        <v>11.555555555555557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21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21</v>
      </c>
      <c r="K32" s="19">
        <f t="shared" si="8"/>
        <v>0</v>
      </c>
      <c r="L32" s="20">
        <f t="shared" si="9"/>
        <v>10.555555555555557</v>
      </c>
      <c r="M32" s="20">
        <f t="shared" si="10"/>
        <v>10.555555555555557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29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29</v>
      </c>
      <c r="K33" s="19">
        <f t="shared" si="8"/>
        <v>0</v>
      </c>
      <c r="L33" s="20">
        <f t="shared" si="9"/>
        <v>2.5555555555555571</v>
      </c>
      <c r="M33" s="20">
        <f t="shared" si="10"/>
        <v>2.5555555555555571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27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27</v>
      </c>
      <c r="K34" s="19">
        <f t="shared" si="8"/>
        <v>0</v>
      </c>
      <c r="L34" s="20">
        <f t="shared" si="9"/>
        <v>4.5555555555555571</v>
      </c>
      <c r="M34" s="20">
        <f t="shared" si="10"/>
        <v>4.5555555555555571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27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27</v>
      </c>
      <c r="K35" s="19">
        <f t="shared" si="8"/>
        <v>0</v>
      </c>
      <c r="L35" s="20">
        <f t="shared" si="9"/>
        <v>4.5555555555555571</v>
      </c>
      <c r="M35" s="20">
        <f t="shared" si="10"/>
        <v>4.5555555555555571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28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28</v>
      </c>
      <c r="K36" s="19">
        <f t="shared" si="8"/>
        <v>0</v>
      </c>
      <c r="L36" s="20">
        <f t="shared" si="9"/>
        <v>3.5555555555555571</v>
      </c>
      <c r="M36" s="20">
        <f t="shared" si="10"/>
        <v>3.5555555555555571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26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26</v>
      </c>
      <c r="K37" s="19">
        <f t="shared" si="8"/>
        <v>0</v>
      </c>
      <c r="L37" s="20">
        <f t="shared" si="9"/>
        <v>5.5555555555555571</v>
      </c>
      <c r="M37" s="20">
        <f t="shared" si="10"/>
        <v>5.5555555555555571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29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29</v>
      </c>
      <c r="K38" s="19">
        <f t="shared" si="8"/>
        <v>0</v>
      </c>
      <c r="L38" s="20">
        <f t="shared" si="9"/>
        <v>2.5555555555555571</v>
      </c>
      <c r="M38" s="20">
        <f t="shared" si="10"/>
        <v>2.5555555555555571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91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91</v>
      </c>
      <c r="K39" s="19">
        <f t="shared" si="8"/>
        <v>0</v>
      </c>
      <c r="L39" s="20">
        <f t="shared" si="9"/>
        <v>59.444444444444443</v>
      </c>
      <c r="M39" s="20">
        <f t="shared" si="10"/>
        <v>59.444444444444443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30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30</v>
      </c>
      <c r="K40" s="19">
        <f t="shared" si="8"/>
        <v>0</v>
      </c>
      <c r="L40" s="20">
        <f t="shared" si="9"/>
        <v>1.5555555555555571</v>
      </c>
      <c r="M40" s="20">
        <f t="shared" si="10"/>
        <v>1.5555555555555571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27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27</v>
      </c>
      <c r="K41" s="19">
        <f t="shared" si="8"/>
        <v>0</v>
      </c>
      <c r="L41" s="20">
        <f t="shared" si="9"/>
        <v>4.5555555555555571</v>
      </c>
      <c r="M41" s="20">
        <f t="shared" si="10"/>
        <v>4.5555555555555571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28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28</v>
      </c>
      <c r="K42" s="19">
        <f t="shared" si="8"/>
        <v>0</v>
      </c>
      <c r="L42" s="20">
        <f t="shared" si="9"/>
        <v>3.5555555555555571</v>
      </c>
      <c r="M42" s="20">
        <f t="shared" si="10"/>
        <v>3.5555555555555571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28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28</v>
      </c>
      <c r="K43" s="19">
        <f t="shared" si="8"/>
        <v>0</v>
      </c>
      <c r="L43" s="20">
        <f t="shared" si="9"/>
        <v>3.5555555555555571</v>
      </c>
      <c r="M43" s="20">
        <f t="shared" si="10"/>
        <v>3.5555555555555571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26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26</v>
      </c>
      <c r="K44" s="19">
        <f t="shared" si="8"/>
        <v>0</v>
      </c>
      <c r="L44" s="20">
        <f t="shared" si="9"/>
        <v>5.5555555555555571</v>
      </c>
      <c r="M44" s="20">
        <f t="shared" si="10"/>
        <v>5.5555555555555571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277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1</v>
      </c>
      <c r="H45" s="36">
        <f t="shared" ref="H45:H76" si="22">IF(SUM($V45:$AA45), ROUND(AA45/SUM($V45:$AA45), 2),0)</f>
        <v>0</v>
      </c>
      <c r="I45" s="19">
        <f t="shared" ref="I45:I76" si="23">SUM(C45:H45)</f>
        <v>1</v>
      </c>
      <c r="J45" s="19">
        <f t="shared" ref="J45:J76" si="24">IF(I45&gt;0,0,B45)</f>
        <v>0</v>
      </c>
      <c r="K45" s="19">
        <f t="shared" ref="K45:K76" si="25">IF(I45&gt;0,B45,0)</f>
        <v>277</v>
      </c>
      <c r="L45" s="20">
        <f t="shared" ref="L45:L76" si="26">IF(B45&gt;0,(ABS(B45-$J$115)),0)</f>
        <v>245.44444444444446</v>
      </c>
      <c r="M45" s="20">
        <f t="shared" ref="M45:M76" si="27">IF(I45&gt;0,0,L45)</f>
        <v>0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245.44444444444446</v>
      </c>
      <c r="T45" s="20">
        <f t="shared" ref="T45:T76" si="33">H45*$L45</f>
        <v>0</v>
      </c>
      <c r="V45" s="20"/>
      <c r="W45" s="20"/>
      <c r="X45" s="20"/>
      <c r="Y45" s="20"/>
      <c r="Z45" s="20">
        <v>252</v>
      </c>
      <c r="AA45" s="20"/>
    </row>
    <row r="46" spans="1:27" ht="33" customHeight="1" x14ac:dyDescent="0.2">
      <c r="A46" s="17">
        <v>34</v>
      </c>
      <c r="B46" s="21">
        <v>24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24</v>
      </c>
      <c r="K46" s="19">
        <f t="shared" si="25"/>
        <v>0</v>
      </c>
      <c r="L46" s="20">
        <f t="shared" si="26"/>
        <v>7.5555555555555571</v>
      </c>
      <c r="M46" s="20">
        <f t="shared" si="27"/>
        <v>7.5555555555555571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23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23</v>
      </c>
      <c r="K47" s="19">
        <f t="shared" si="25"/>
        <v>0</v>
      </c>
      <c r="L47" s="20">
        <f t="shared" si="26"/>
        <v>8.5555555555555571</v>
      </c>
      <c r="M47" s="20">
        <f t="shared" si="27"/>
        <v>8.5555555555555571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25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25</v>
      </c>
      <c r="K48" s="19">
        <f t="shared" si="25"/>
        <v>0</v>
      </c>
      <c r="L48" s="20">
        <f t="shared" si="26"/>
        <v>6.5555555555555571</v>
      </c>
      <c r="M48" s="20">
        <f t="shared" si="27"/>
        <v>6.5555555555555571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25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25</v>
      </c>
      <c r="K49" s="19">
        <f t="shared" si="25"/>
        <v>0</v>
      </c>
      <c r="L49" s="20">
        <f t="shared" si="26"/>
        <v>6.5555555555555571</v>
      </c>
      <c r="M49" s="20">
        <f t="shared" si="27"/>
        <v>6.5555555555555571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26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26</v>
      </c>
      <c r="K50" s="19">
        <f t="shared" si="25"/>
        <v>0</v>
      </c>
      <c r="L50" s="20">
        <f t="shared" si="26"/>
        <v>5.5555555555555571</v>
      </c>
      <c r="M50" s="20">
        <f t="shared" si="27"/>
        <v>5.5555555555555571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27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27</v>
      </c>
      <c r="K51" s="19">
        <f t="shared" si="25"/>
        <v>0</v>
      </c>
      <c r="L51" s="20">
        <f t="shared" si="26"/>
        <v>4.5555555555555571</v>
      </c>
      <c r="M51" s="20">
        <f t="shared" si="27"/>
        <v>4.5555555555555571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87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87</v>
      </c>
      <c r="K52" s="19">
        <f t="shared" si="25"/>
        <v>0</v>
      </c>
      <c r="L52" s="20">
        <f t="shared" si="26"/>
        <v>55.444444444444443</v>
      </c>
      <c r="M52" s="20">
        <f t="shared" si="27"/>
        <v>55.444444444444443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26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26</v>
      </c>
      <c r="K53" s="19">
        <f t="shared" si="25"/>
        <v>0</v>
      </c>
      <c r="L53" s="20">
        <f t="shared" si="26"/>
        <v>5.5555555555555571</v>
      </c>
      <c r="M53" s="20">
        <f t="shared" si="27"/>
        <v>5.5555555555555571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29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29</v>
      </c>
      <c r="K54" s="19">
        <f t="shared" si="25"/>
        <v>0</v>
      </c>
      <c r="L54" s="20">
        <f t="shared" si="26"/>
        <v>2.5555555555555571</v>
      </c>
      <c r="M54" s="20">
        <f t="shared" si="27"/>
        <v>2.5555555555555571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27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27</v>
      </c>
      <c r="K55" s="19">
        <f t="shared" si="25"/>
        <v>0</v>
      </c>
      <c r="L55" s="20">
        <f t="shared" si="26"/>
        <v>4.5555555555555571</v>
      </c>
      <c r="M55" s="20">
        <f t="shared" si="27"/>
        <v>4.5555555555555571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27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27</v>
      </c>
      <c r="K56" s="19">
        <f t="shared" si="25"/>
        <v>0</v>
      </c>
      <c r="L56" s="20">
        <f t="shared" si="26"/>
        <v>4.5555555555555571</v>
      </c>
      <c r="M56" s="20">
        <f t="shared" si="27"/>
        <v>4.5555555555555571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28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28</v>
      </c>
      <c r="K57" s="19">
        <f t="shared" si="25"/>
        <v>0</v>
      </c>
      <c r="L57" s="20">
        <f t="shared" si="26"/>
        <v>3.5555555555555571</v>
      </c>
      <c r="M57" s="20">
        <f t="shared" si="27"/>
        <v>3.5555555555555571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26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26</v>
      </c>
      <c r="K58" s="19">
        <f t="shared" si="25"/>
        <v>0</v>
      </c>
      <c r="L58" s="20">
        <f t="shared" si="26"/>
        <v>5.5555555555555571</v>
      </c>
      <c r="M58" s="20">
        <f t="shared" si="27"/>
        <v>5.5555555555555571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25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25</v>
      </c>
      <c r="K59" s="19">
        <f t="shared" si="25"/>
        <v>0</v>
      </c>
      <c r="L59" s="20">
        <f t="shared" si="26"/>
        <v>6.5555555555555571</v>
      </c>
      <c r="M59" s="20">
        <f t="shared" si="27"/>
        <v>6.5555555555555571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122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122</v>
      </c>
      <c r="K60" s="19">
        <f t="shared" si="25"/>
        <v>0</v>
      </c>
      <c r="L60" s="20">
        <f t="shared" si="26"/>
        <v>90.444444444444443</v>
      </c>
      <c r="M60" s="20">
        <f t="shared" si="27"/>
        <v>90.444444444444443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31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31</v>
      </c>
      <c r="K61" s="19">
        <f t="shared" si="25"/>
        <v>0</v>
      </c>
      <c r="L61" s="20">
        <f t="shared" si="26"/>
        <v>0.55555555555555713</v>
      </c>
      <c r="M61" s="20">
        <f t="shared" si="27"/>
        <v>0.55555555555555713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29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29</v>
      </c>
      <c r="K62" s="19">
        <f t="shared" si="25"/>
        <v>0</v>
      </c>
      <c r="L62" s="20">
        <f t="shared" si="26"/>
        <v>2.5555555555555571</v>
      </c>
      <c r="M62" s="20">
        <f t="shared" si="27"/>
        <v>2.5555555555555571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29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29</v>
      </c>
      <c r="K63" s="19">
        <f t="shared" si="25"/>
        <v>0</v>
      </c>
      <c r="L63" s="20">
        <f t="shared" si="26"/>
        <v>2.5555555555555571</v>
      </c>
      <c r="M63" s="20">
        <f t="shared" si="27"/>
        <v>2.5555555555555571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28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28</v>
      </c>
      <c r="K64" s="19">
        <f t="shared" si="25"/>
        <v>0</v>
      </c>
      <c r="L64" s="20">
        <f t="shared" si="26"/>
        <v>3.5555555555555571</v>
      </c>
      <c r="M64" s="20">
        <f t="shared" si="27"/>
        <v>3.5555555555555571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26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26</v>
      </c>
      <c r="K65" s="19">
        <f t="shared" si="25"/>
        <v>0</v>
      </c>
      <c r="L65" s="20">
        <f t="shared" si="26"/>
        <v>5.5555555555555571</v>
      </c>
      <c r="M65" s="20">
        <f t="shared" si="27"/>
        <v>5.5555555555555571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27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27</v>
      </c>
      <c r="K66" s="19">
        <f t="shared" si="25"/>
        <v>0</v>
      </c>
      <c r="L66" s="20">
        <f t="shared" si="26"/>
        <v>4.5555555555555571</v>
      </c>
      <c r="M66" s="20">
        <f t="shared" si="27"/>
        <v>4.5555555555555571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31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0</v>
      </c>
      <c r="H67" s="36">
        <f t="shared" si="22"/>
        <v>0</v>
      </c>
      <c r="I67" s="19">
        <f t="shared" si="23"/>
        <v>0</v>
      </c>
      <c r="J67" s="19">
        <f t="shared" si="24"/>
        <v>31</v>
      </c>
      <c r="K67" s="19">
        <f t="shared" si="25"/>
        <v>0</v>
      </c>
      <c r="L67" s="20">
        <f t="shared" si="26"/>
        <v>0.55555555555555713</v>
      </c>
      <c r="M67" s="20">
        <f t="shared" si="27"/>
        <v>0.55555555555555713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>
        <v>27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27</v>
      </c>
      <c r="K68" s="19">
        <f t="shared" si="25"/>
        <v>0</v>
      </c>
      <c r="L68" s="20">
        <f t="shared" si="26"/>
        <v>4.5555555555555571</v>
      </c>
      <c r="M68" s="20">
        <f t="shared" si="27"/>
        <v>4.5555555555555571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405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1</v>
      </c>
      <c r="H69" s="36">
        <f t="shared" si="22"/>
        <v>0</v>
      </c>
      <c r="I69" s="19">
        <f t="shared" si="23"/>
        <v>1</v>
      </c>
      <c r="J69" s="19">
        <f t="shared" si="24"/>
        <v>0</v>
      </c>
      <c r="K69" s="19">
        <f t="shared" si="25"/>
        <v>405</v>
      </c>
      <c r="L69" s="20">
        <f t="shared" si="26"/>
        <v>373.44444444444446</v>
      </c>
      <c r="M69" s="20">
        <f t="shared" si="27"/>
        <v>0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373.44444444444446</v>
      </c>
      <c r="T69" s="20">
        <f t="shared" si="33"/>
        <v>0</v>
      </c>
      <c r="V69" s="20"/>
      <c r="W69" s="20"/>
      <c r="X69" s="20"/>
      <c r="Y69" s="20"/>
      <c r="Z69" s="20">
        <v>381</v>
      </c>
      <c r="AA69" s="20"/>
    </row>
    <row r="70" spans="1:27" ht="33" customHeight="1" x14ac:dyDescent="0.2">
      <c r="A70" s="17">
        <v>58</v>
      </c>
      <c r="B70" s="21">
        <v>22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22</v>
      </c>
      <c r="K70" s="19">
        <f t="shared" si="25"/>
        <v>0</v>
      </c>
      <c r="L70" s="20">
        <f t="shared" si="26"/>
        <v>9.5555555555555571</v>
      </c>
      <c r="M70" s="20">
        <f t="shared" si="27"/>
        <v>9.5555555555555571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19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19</v>
      </c>
      <c r="K71" s="19">
        <f t="shared" si="25"/>
        <v>0</v>
      </c>
      <c r="L71" s="20">
        <f t="shared" si="26"/>
        <v>12.555555555555557</v>
      </c>
      <c r="M71" s="20">
        <f t="shared" si="27"/>
        <v>12.555555555555557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20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20</v>
      </c>
      <c r="K72" s="19">
        <f t="shared" si="25"/>
        <v>0</v>
      </c>
      <c r="L72" s="20">
        <f t="shared" si="26"/>
        <v>11.555555555555557</v>
      </c>
      <c r="M72" s="20">
        <f t="shared" si="27"/>
        <v>11.555555555555557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33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33</v>
      </c>
      <c r="K73" s="19">
        <f t="shared" si="25"/>
        <v>0</v>
      </c>
      <c r="L73" s="20">
        <f t="shared" si="26"/>
        <v>1.4444444444444429</v>
      </c>
      <c r="M73" s="20">
        <f t="shared" si="27"/>
        <v>1.4444444444444429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27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27</v>
      </c>
      <c r="K74" s="19">
        <f t="shared" si="25"/>
        <v>0</v>
      </c>
      <c r="L74" s="20">
        <f t="shared" si="26"/>
        <v>4.5555555555555571</v>
      </c>
      <c r="M74" s="20">
        <f t="shared" si="27"/>
        <v>4.5555555555555571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18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18</v>
      </c>
      <c r="K75" s="19">
        <f t="shared" si="25"/>
        <v>0</v>
      </c>
      <c r="L75" s="20">
        <f t="shared" si="26"/>
        <v>13.555555555555557</v>
      </c>
      <c r="M75" s="20">
        <f t="shared" si="27"/>
        <v>13.555555555555557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22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22</v>
      </c>
      <c r="K76" s="19">
        <f t="shared" si="25"/>
        <v>0</v>
      </c>
      <c r="L76" s="20">
        <f t="shared" si="26"/>
        <v>9.5555555555555571</v>
      </c>
      <c r="M76" s="20">
        <f t="shared" si="27"/>
        <v>9.5555555555555571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27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27</v>
      </c>
      <c r="K77" s="19">
        <f t="shared" ref="K77:K112" si="42">IF(I77&gt;0,B77,0)</f>
        <v>0</v>
      </c>
      <c r="L77" s="20">
        <f t="shared" ref="L77:L112" si="43">IF(B77&gt;0,(ABS(B77-$J$115)),0)</f>
        <v>4.5555555555555571</v>
      </c>
      <c r="M77" s="20">
        <f t="shared" ref="M77:M108" si="44">IF(I77&gt;0,0,L77)</f>
        <v>4.5555555555555571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95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95</v>
      </c>
      <c r="K78" s="19">
        <f t="shared" si="42"/>
        <v>0</v>
      </c>
      <c r="L78" s="20">
        <f t="shared" si="43"/>
        <v>63.444444444444443</v>
      </c>
      <c r="M78" s="20">
        <f t="shared" si="44"/>
        <v>63.444444444444443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22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22</v>
      </c>
      <c r="K79" s="19">
        <f t="shared" si="42"/>
        <v>0</v>
      </c>
      <c r="L79" s="20">
        <f t="shared" si="43"/>
        <v>9.5555555555555571</v>
      </c>
      <c r="M79" s="20">
        <f t="shared" si="44"/>
        <v>9.5555555555555571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24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24</v>
      </c>
      <c r="K80" s="19">
        <f t="shared" si="42"/>
        <v>0</v>
      </c>
      <c r="L80" s="20">
        <f t="shared" si="43"/>
        <v>7.5555555555555571</v>
      </c>
      <c r="M80" s="20">
        <f t="shared" si="44"/>
        <v>7.5555555555555571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27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27</v>
      </c>
      <c r="K81" s="19">
        <f t="shared" si="42"/>
        <v>0</v>
      </c>
      <c r="L81" s="20">
        <f t="shared" si="43"/>
        <v>4.5555555555555571</v>
      </c>
      <c r="M81" s="20">
        <f t="shared" si="44"/>
        <v>4.5555555555555571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92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92</v>
      </c>
      <c r="K82" s="19">
        <f t="shared" si="42"/>
        <v>0</v>
      </c>
      <c r="L82" s="20">
        <f t="shared" si="43"/>
        <v>60.444444444444443</v>
      </c>
      <c r="M82" s="20">
        <f t="shared" si="44"/>
        <v>60.444444444444443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25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25</v>
      </c>
      <c r="K83" s="19">
        <f t="shared" si="42"/>
        <v>0</v>
      </c>
      <c r="L83" s="20">
        <f t="shared" si="43"/>
        <v>6.5555555555555571</v>
      </c>
      <c r="M83" s="20">
        <f t="shared" si="44"/>
        <v>6.5555555555555571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25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25</v>
      </c>
      <c r="K84" s="19">
        <f t="shared" si="42"/>
        <v>0</v>
      </c>
      <c r="L84" s="20">
        <f t="shared" si="43"/>
        <v>6.5555555555555571</v>
      </c>
      <c r="M84" s="20">
        <f t="shared" si="44"/>
        <v>6.5555555555555571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26</v>
      </c>
      <c r="C85" s="36">
        <f t="shared" si="34"/>
        <v>0</v>
      </c>
      <c r="D85" s="36">
        <f t="shared" si="35"/>
        <v>0</v>
      </c>
      <c r="E85" s="36">
        <f t="shared" si="36"/>
        <v>0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0</v>
      </c>
      <c r="J85" s="19">
        <f t="shared" si="41"/>
        <v>26</v>
      </c>
      <c r="K85" s="19">
        <f t="shared" si="42"/>
        <v>0</v>
      </c>
      <c r="L85" s="20">
        <f t="shared" si="43"/>
        <v>5.5555555555555571</v>
      </c>
      <c r="M85" s="20">
        <f t="shared" si="44"/>
        <v>5.5555555555555571</v>
      </c>
      <c r="O85" s="20">
        <f t="shared" si="45"/>
        <v>0</v>
      </c>
      <c r="P85" s="20">
        <f t="shared" si="46"/>
        <v>0</v>
      </c>
      <c r="Q85" s="20">
        <f t="shared" si="47"/>
        <v>0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>
        <v>23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23</v>
      </c>
      <c r="K86" s="19">
        <f t="shared" si="42"/>
        <v>0</v>
      </c>
      <c r="L86" s="20">
        <f t="shared" si="43"/>
        <v>8.5555555555555571</v>
      </c>
      <c r="M86" s="20">
        <f t="shared" si="44"/>
        <v>8.5555555555555571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22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22</v>
      </c>
      <c r="K87" s="19">
        <f t="shared" si="42"/>
        <v>0</v>
      </c>
      <c r="L87" s="20">
        <f t="shared" si="43"/>
        <v>9.5555555555555571</v>
      </c>
      <c r="M87" s="20">
        <f t="shared" si="44"/>
        <v>9.5555555555555571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/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0</v>
      </c>
      <c r="K88" s="19">
        <f t="shared" si="42"/>
        <v>0</v>
      </c>
      <c r="L88" s="20">
        <f t="shared" si="43"/>
        <v>0</v>
      </c>
      <c r="M88" s="20">
        <f t="shared" si="44"/>
        <v>0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/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0</v>
      </c>
      <c r="K89" s="19">
        <f t="shared" si="42"/>
        <v>0</v>
      </c>
      <c r="L89" s="20">
        <f t="shared" si="43"/>
        <v>0</v>
      </c>
      <c r="M89" s="20">
        <f t="shared" si="44"/>
        <v>0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/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0</v>
      </c>
      <c r="K90" s="19">
        <f t="shared" si="42"/>
        <v>0</v>
      </c>
      <c r="L90" s="20">
        <f t="shared" si="43"/>
        <v>0</v>
      </c>
      <c r="M90" s="20">
        <f t="shared" si="44"/>
        <v>0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/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0</v>
      </c>
      <c r="K91" s="19">
        <f t="shared" si="42"/>
        <v>0</v>
      </c>
      <c r="L91" s="20">
        <f t="shared" si="43"/>
        <v>0</v>
      </c>
      <c r="M91" s="20">
        <f t="shared" si="44"/>
        <v>0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/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0</v>
      </c>
      <c r="K92" s="19">
        <f t="shared" si="42"/>
        <v>0</v>
      </c>
      <c r="L92" s="20">
        <f t="shared" si="43"/>
        <v>0</v>
      </c>
      <c r="M92" s="20">
        <f t="shared" si="44"/>
        <v>0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/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0</v>
      </c>
      <c r="K93" s="19">
        <f t="shared" si="42"/>
        <v>0</v>
      </c>
      <c r="L93" s="20">
        <f t="shared" si="43"/>
        <v>0</v>
      </c>
      <c r="M93" s="20">
        <f t="shared" si="44"/>
        <v>0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/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0</v>
      </c>
      <c r="K94" s="19">
        <f t="shared" si="42"/>
        <v>0</v>
      </c>
      <c r="L94" s="20">
        <f t="shared" si="43"/>
        <v>0</v>
      </c>
      <c r="M94" s="20">
        <f t="shared" si="44"/>
        <v>0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/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0</v>
      </c>
      <c r="G95" s="36">
        <f t="shared" si="38"/>
        <v>0</v>
      </c>
      <c r="H95" s="36">
        <f t="shared" si="39"/>
        <v>0</v>
      </c>
      <c r="I95" s="19">
        <f t="shared" si="40"/>
        <v>0</v>
      </c>
      <c r="J95" s="19">
        <f t="shared" si="41"/>
        <v>0</v>
      </c>
      <c r="K95" s="19">
        <f t="shared" si="42"/>
        <v>0</v>
      </c>
      <c r="L95" s="20">
        <f t="shared" si="43"/>
        <v>0</v>
      </c>
      <c r="M95" s="20">
        <f t="shared" si="44"/>
        <v>0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0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/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0</v>
      </c>
      <c r="K96" s="19">
        <f t="shared" si="42"/>
        <v>0</v>
      </c>
      <c r="L96" s="20">
        <f t="shared" si="43"/>
        <v>0</v>
      </c>
      <c r="M96" s="20">
        <f t="shared" si="44"/>
        <v>0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/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0</v>
      </c>
      <c r="K97" s="19">
        <f t="shared" si="42"/>
        <v>0</v>
      </c>
      <c r="L97" s="20">
        <f t="shared" si="43"/>
        <v>0</v>
      </c>
      <c r="M97" s="20">
        <f t="shared" si="44"/>
        <v>0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/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0</v>
      </c>
      <c r="K98" s="19">
        <f t="shared" si="42"/>
        <v>0</v>
      </c>
      <c r="L98" s="20">
        <f t="shared" si="43"/>
        <v>0</v>
      </c>
      <c r="M98" s="20">
        <f t="shared" si="44"/>
        <v>0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/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0</v>
      </c>
      <c r="K99" s="19">
        <f t="shared" si="42"/>
        <v>0</v>
      </c>
      <c r="L99" s="20">
        <f t="shared" si="43"/>
        <v>0</v>
      </c>
      <c r="M99" s="20">
        <f t="shared" si="44"/>
        <v>0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/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0</v>
      </c>
      <c r="K100" s="19">
        <f t="shared" si="42"/>
        <v>0</v>
      </c>
      <c r="L100" s="20">
        <f t="shared" si="43"/>
        <v>0</v>
      </c>
      <c r="M100" s="20">
        <f t="shared" si="44"/>
        <v>0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/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0</v>
      </c>
      <c r="K101" s="19">
        <f t="shared" si="42"/>
        <v>0</v>
      </c>
      <c r="L101" s="20">
        <f t="shared" si="43"/>
        <v>0</v>
      </c>
      <c r="M101" s="20">
        <f t="shared" si="44"/>
        <v>0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/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0</v>
      </c>
      <c r="K102" s="19">
        <f t="shared" si="42"/>
        <v>0</v>
      </c>
      <c r="L102" s="20">
        <f t="shared" si="43"/>
        <v>0</v>
      </c>
      <c r="M102" s="20">
        <f t="shared" si="44"/>
        <v>0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/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0</v>
      </c>
      <c r="K103" s="19">
        <f t="shared" si="42"/>
        <v>0</v>
      </c>
      <c r="L103" s="20">
        <f t="shared" si="43"/>
        <v>0</v>
      </c>
      <c r="M103" s="20">
        <f t="shared" si="44"/>
        <v>0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/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0</v>
      </c>
      <c r="K104" s="19">
        <f t="shared" si="42"/>
        <v>0</v>
      </c>
      <c r="L104" s="20">
        <f t="shared" si="43"/>
        <v>0</v>
      </c>
      <c r="M104" s="20">
        <f t="shared" si="44"/>
        <v>0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/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0</v>
      </c>
      <c r="K105" s="19">
        <f t="shared" si="42"/>
        <v>0</v>
      </c>
      <c r="L105" s="20">
        <f t="shared" si="43"/>
        <v>0</v>
      </c>
      <c r="M105" s="20">
        <f t="shared" si="44"/>
        <v>0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/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0</v>
      </c>
      <c r="K106" s="19">
        <f t="shared" si="42"/>
        <v>0</v>
      </c>
      <c r="L106" s="20">
        <f t="shared" si="43"/>
        <v>0</v>
      </c>
      <c r="M106" s="20">
        <f t="shared" si="44"/>
        <v>0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/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0</v>
      </c>
      <c r="K107" s="19">
        <f t="shared" si="42"/>
        <v>0</v>
      </c>
      <c r="L107" s="20">
        <f t="shared" si="43"/>
        <v>0</v>
      </c>
      <c r="M107" s="20">
        <f t="shared" si="44"/>
        <v>0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/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0</v>
      </c>
      <c r="H108" s="36">
        <f t="shared" si="39"/>
        <v>0</v>
      </c>
      <c r="I108" s="19">
        <f t="shared" si="40"/>
        <v>0</v>
      </c>
      <c r="J108" s="19">
        <f t="shared" si="41"/>
        <v>0</v>
      </c>
      <c r="K108" s="19">
        <f t="shared" si="42"/>
        <v>0</v>
      </c>
      <c r="L108" s="20">
        <f t="shared" si="43"/>
        <v>0</v>
      </c>
      <c r="M108" s="20">
        <f t="shared" si="44"/>
        <v>0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/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0</v>
      </c>
      <c r="K109" s="19">
        <f t="shared" si="42"/>
        <v>0</v>
      </c>
      <c r="L109" s="20">
        <f t="shared" si="43"/>
        <v>0</v>
      </c>
      <c r="M109" s="20">
        <f t="shared" ref="M109:M140" si="53">IF(I109&gt;0,0,L109)</f>
        <v>0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/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0</v>
      </c>
      <c r="K110" s="19">
        <f t="shared" si="42"/>
        <v>0</v>
      </c>
      <c r="L110" s="20">
        <f t="shared" si="43"/>
        <v>0</v>
      </c>
      <c r="M110" s="20">
        <f t="shared" si="53"/>
        <v>0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/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0</v>
      </c>
      <c r="K111" s="19">
        <f t="shared" si="42"/>
        <v>0</v>
      </c>
      <c r="L111" s="20">
        <f t="shared" si="43"/>
        <v>0</v>
      </c>
      <c r="M111" s="20">
        <f t="shared" si="53"/>
        <v>0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/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0</v>
      </c>
      <c r="K112" s="24">
        <f t="shared" si="42"/>
        <v>0</v>
      </c>
      <c r="L112" s="25">
        <f t="shared" si="43"/>
        <v>0</v>
      </c>
      <c r="M112" s="25">
        <f t="shared" si="53"/>
        <v>0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81</v>
      </c>
      <c r="B113" s="17">
        <f>COUNT(B13:B112)</f>
        <v>75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0</v>
      </c>
      <c r="F113" s="17">
        <f t="shared" si="54"/>
        <v>0</v>
      </c>
      <c r="G113" s="17">
        <f t="shared" si="54"/>
        <v>3</v>
      </c>
      <c r="H113" s="17">
        <f t="shared" si="54"/>
        <v>0</v>
      </c>
      <c r="I113" s="17" t="s">
        <v>81</v>
      </c>
      <c r="J113" s="17">
        <f>B113-SUM(C113:H113)</f>
        <v>72</v>
      </c>
      <c r="K113" s="17">
        <f>B113-J113</f>
        <v>3</v>
      </c>
      <c r="L113" s="17">
        <f>B113</f>
        <v>75</v>
      </c>
      <c r="M113" s="17">
        <f>J113</f>
        <v>72</v>
      </c>
      <c r="N113" s="17" t="s">
        <v>82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0</v>
      </c>
      <c r="R113" s="17">
        <f t="shared" si="55"/>
        <v>0</v>
      </c>
      <c r="S113" s="17">
        <f t="shared" si="55"/>
        <v>3</v>
      </c>
      <c r="T113" s="17">
        <f t="shared" si="55"/>
        <v>0</v>
      </c>
    </row>
    <row r="114" spans="1:21" ht="33" customHeight="1" x14ac:dyDescent="0.2">
      <c r="A114" s="27" t="s">
        <v>83</v>
      </c>
      <c r="B114" s="27">
        <f>SUM(B13:B112)</f>
        <v>3261</v>
      </c>
      <c r="I114" s="27" t="s">
        <v>83</v>
      </c>
      <c r="J114" s="27">
        <f>SUM(J13:J112)</f>
        <v>2272</v>
      </c>
      <c r="K114" s="27">
        <f>SUM(K13:K112)</f>
        <v>989</v>
      </c>
      <c r="L114" s="28">
        <f>SUM(L13:L112)</f>
        <v>1743.4444444444462</v>
      </c>
      <c r="M114" s="28">
        <f>SUM(M13:M112)</f>
        <v>849.11111111111052</v>
      </c>
      <c r="N114" s="27" t="s">
        <v>84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0</v>
      </c>
      <c r="R114" s="28">
        <f t="shared" si="56"/>
        <v>0</v>
      </c>
      <c r="S114" s="28">
        <f t="shared" si="56"/>
        <v>894.33333333333337</v>
      </c>
      <c r="T114" s="28">
        <f t="shared" si="56"/>
        <v>0</v>
      </c>
    </row>
    <row r="115" spans="1:21" ht="39" customHeight="1" x14ac:dyDescent="0.2">
      <c r="A115" s="29" t="s">
        <v>56</v>
      </c>
      <c r="B115" s="28">
        <f>B114/B113</f>
        <v>43.48</v>
      </c>
      <c r="I115" s="29" t="s">
        <v>56</v>
      </c>
      <c r="J115" s="28">
        <f>AVERAGEIF(J13:J112,"&lt;&gt;0")</f>
        <v>31.555555555555557</v>
      </c>
      <c r="K115" s="28">
        <f>AVERAGEIF(K13:K112,"&lt;&gt;0")</f>
        <v>329.66666666666669</v>
      </c>
      <c r="L115" s="28">
        <f>AVERAGEIF(L13:L112,"&lt;&gt;0")</f>
        <v>23.245925925925949</v>
      </c>
      <c r="M115" s="28">
        <f>AVERAGEIF(M13:M112,"&lt;&gt;0")</f>
        <v>11.793209876543202</v>
      </c>
      <c r="N115" s="27" t="s">
        <v>85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</v>
      </c>
      <c r="R115" s="28">
        <f t="shared" si="57"/>
        <v>0</v>
      </c>
      <c r="S115" s="28">
        <f t="shared" si="57"/>
        <v>0.04</v>
      </c>
      <c r="T115" s="28">
        <f t="shared" si="57"/>
        <v>0</v>
      </c>
    </row>
    <row r="116" spans="1:21" ht="35.1" customHeight="1" x14ac:dyDescent="0.2">
      <c r="N116" s="27" t="s">
        <v>86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0</v>
      </c>
      <c r="R116" s="28">
        <f t="shared" si="58"/>
        <v>0</v>
      </c>
      <c r="S116" s="28">
        <f t="shared" si="58"/>
        <v>6.8562813043033835</v>
      </c>
      <c r="T116" s="28">
        <f t="shared" si="58"/>
        <v>0</v>
      </c>
    </row>
    <row r="117" spans="1:21" ht="35.1" customHeight="1" x14ac:dyDescent="0.2">
      <c r="A117" s="27"/>
      <c r="B117" s="30" t="s">
        <v>87</v>
      </c>
      <c r="C117" s="30" t="s">
        <v>88</v>
      </c>
      <c r="D117" s="30" t="s">
        <v>89</v>
      </c>
      <c r="E117" s="30" t="s">
        <v>90</v>
      </c>
      <c r="N117" s="27" t="s">
        <v>91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0</v>
      </c>
      <c r="R117" s="28">
        <f t="shared" si="59"/>
        <v>0</v>
      </c>
      <c r="S117" s="28">
        <f t="shared" si="59"/>
        <v>0.27425125217213536</v>
      </c>
      <c r="T117" s="28">
        <f t="shared" si="59"/>
        <v>0</v>
      </c>
      <c r="U117" s="31"/>
    </row>
    <row r="118" spans="1:21" ht="35.1" customHeight="1" x14ac:dyDescent="0.2">
      <c r="A118" s="27" t="s">
        <v>92</v>
      </c>
      <c r="B118" s="27">
        <f>J114</f>
        <v>2272</v>
      </c>
      <c r="C118" s="27">
        <f>J113</f>
        <v>72</v>
      </c>
      <c r="D118" s="28">
        <f>J115</f>
        <v>31.555555555555557</v>
      </c>
      <c r="E118" s="28">
        <f>M114/C118</f>
        <v>11.793209876543202</v>
      </c>
      <c r="G118" s="27" t="s">
        <v>93</v>
      </c>
      <c r="H118" s="32">
        <f>1/J115*60*60</f>
        <v>114.08450704225352</v>
      </c>
      <c r="J118" s="27" t="s">
        <v>94</v>
      </c>
      <c r="K118" s="32">
        <f>H118*(1-SUM(O117:T117))</f>
        <v>82.796688132474685</v>
      </c>
      <c r="U118" s="31"/>
    </row>
    <row r="119" spans="1:21" ht="33.950000000000003" customHeight="1" x14ac:dyDescent="0.2">
      <c r="A119" s="29" t="s">
        <v>95</v>
      </c>
      <c r="B119" s="27">
        <f>B114</f>
        <v>3261</v>
      </c>
      <c r="C119" s="27">
        <f>B113</f>
        <v>75</v>
      </c>
      <c r="D119" s="28">
        <f>B115</f>
        <v>43.48</v>
      </c>
      <c r="E119" s="28">
        <f>L114/C119</f>
        <v>23.245925925925949</v>
      </c>
      <c r="G119" s="27" t="s">
        <v>96</v>
      </c>
      <c r="H119" s="33">
        <f>M115/J115</f>
        <v>0.37372848200312964</v>
      </c>
      <c r="J119" s="29" t="s">
        <v>97</v>
      </c>
      <c r="K119" s="33">
        <f>L115/B115</f>
        <v>0.53463491089986082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2026-06-18T06:41:23Z</dcterms:modified>
</cp:coreProperties>
</file>