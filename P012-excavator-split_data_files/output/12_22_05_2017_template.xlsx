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Excavator" sheetId="1" state="visible" r:id="rId1"/>
    <sheet xmlns:r="http://schemas.openxmlformats.org/officeDocument/2006/relationships" name="MPDM 1" sheetId="2" state="visible" r:id="rId2"/>
  </sheets>
  <definedNames>
    <definedName name="_xlnm.Print_Area" localSheetId="0">'Excavator'!$A$1:$S$111</definedName>
    <definedName name="_xlnm.Print_Area" localSheetId="1">'MPDM 1'!$A$1:$T$120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8">
    <font>
      <name val="Arial"/>
      <sz val="10"/>
    </font>
    <font>
      <name val="Times New Roman"/>
      <family val="1"/>
      <b val="1"/>
      <sz val="12"/>
    </font>
    <font>
      <name val="Arial"/>
      <family val="2"/>
      <sz val="10"/>
    </font>
    <font>
      <name val="Times New Roman"/>
      <family val="1"/>
      <sz val="12"/>
    </font>
    <font>
      <name val="Times New Roman"/>
      <family val="1"/>
      <b val="1"/>
      <sz val="12"/>
      <u val="single"/>
    </font>
    <font>
      <name val="Times New Roman"/>
      <family val="1"/>
      <sz val="14"/>
      <u val="single"/>
    </font>
    <font>
      <name val="Arial"/>
      <sz val="10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6" fillId="0" borderId="0"/>
    <xf numFmtId="0" fontId="2" fillId="0" borderId="0"/>
    <xf numFmtId="9" fontId="2" fillId="0" borderId="0"/>
    <xf numFmtId="43" fontId="6" fillId="0" borderId="0"/>
  </cellStyleXfs>
  <cellXfs count="63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1" fillId="2" borderId="1" applyAlignment="1" pivotButton="0" quotePrefix="0" xfId="1">
      <alignment vertical="center"/>
    </xf>
    <xf numFmtId="0" fontId="1" fillId="3" borderId="2" applyAlignment="1" pivotButton="0" quotePrefix="0" xfId="1">
      <alignment horizontal="center" vertical="center"/>
    </xf>
    <xf numFmtId="0" fontId="1" fillId="2" borderId="3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4" borderId="4" applyAlignment="1" pivotButton="0" quotePrefix="0" xfId="1">
      <alignment horizontal="center" vertical="center" wrapText="1"/>
    </xf>
    <xf numFmtId="0" fontId="3" fillId="6" borderId="5" applyAlignment="1" pivotButton="0" quotePrefix="0" xfId="1">
      <alignment vertical="center"/>
    </xf>
    <xf numFmtId="0" fontId="3" fillId="6" borderId="6" applyAlignment="1" pivotButton="0" quotePrefix="0" xfId="1">
      <alignment vertical="center"/>
    </xf>
    <xf numFmtId="0" fontId="3" fillId="6" borderId="7" applyAlignment="1" pivotButton="0" quotePrefix="0" xfId="1">
      <alignment vertical="center"/>
    </xf>
    <xf numFmtId="0" fontId="1" fillId="5" borderId="2" applyAlignment="1" pivotButton="0" quotePrefix="0" xfId="1">
      <alignment vertical="center"/>
    </xf>
    <xf numFmtId="0" fontId="1" fillId="2" borderId="4" applyAlignment="1" pivotButton="0" quotePrefix="0" xfId="1">
      <alignment vertical="center"/>
    </xf>
    <xf numFmtId="0" fontId="1" fillId="3" borderId="1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1" fillId="3" borderId="4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vertical="center" wrapText="1"/>
    </xf>
    <xf numFmtId="0" fontId="3" fillId="6" borderId="6" applyAlignment="1" pivotButton="0" quotePrefix="0" xfId="1">
      <alignment horizontal="center" vertical="center"/>
    </xf>
    <xf numFmtId="0" fontId="3" fillId="7" borderId="6" applyAlignment="1" pivotButton="0" quotePrefix="0" xfId="1">
      <alignment horizontal="center" vertical="center"/>
    </xf>
    <xf numFmtId="0" fontId="3" fillId="0" borderId="6" applyAlignment="1" pivotButton="0" quotePrefix="0" xfId="1">
      <alignment horizontal="center" vertical="center"/>
    </xf>
    <xf numFmtId="2" fontId="3" fillId="0" borderId="6" applyAlignment="1" pivotButton="0" quotePrefix="0" xfId="1">
      <alignment horizontal="center" vertical="center"/>
    </xf>
    <xf numFmtId="0" fontId="3" fillId="7" borderId="11" applyAlignment="1" pivotButton="0" quotePrefix="0" xfId="1">
      <alignment horizontal="center" vertical="center"/>
    </xf>
    <xf numFmtId="0" fontId="3" fillId="6" borderId="12" applyAlignment="1" pivotButton="0" quotePrefix="0" xfId="1">
      <alignment horizontal="center" vertical="center"/>
    </xf>
    <xf numFmtId="0" fontId="3" fillId="7" borderId="13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2" fontId="3" fillId="0" borderId="12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/>
    </xf>
    <xf numFmtId="2" fontId="3" fillId="6" borderId="11" applyAlignment="1" pivotButton="0" quotePrefix="0" xfId="1">
      <alignment horizontal="center" vertical="center"/>
    </xf>
    <xf numFmtId="0" fontId="3" fillId="0" borderId="11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 wrapText="1"/>
    </xf>
    <xf numFmtId="2" fontId="3" fillId="0" borderId="0" applyAlignment="1" pivotButton="0" quotePrefix="0" xfId="1">
      <alignment horizontal="center" vertical="center"/>
    </xf>
    <xf numFmtId="2" fontId="1" fillId="6" borderId="11" applyAlignment="1" pivotButton="0" quotePrefix="0" xfId="2">
      <alignment horizontal="center" vertical="center"/>
    </xf>
    <xf numFmtId="9" fontId="1" fillId="6" borderId="11" applyAlignment="1" pivotButton="0" quotePrefix="0" xfId="2">
      <alignment horizontal="center" vertical="center"/>
    </xf>
    <xf numFmtId="2" fontId="3" fillId="6" borderId="5" applyAlignment="1" pivotButton="0" quotePrefix="0" xfId="1">
      <alignment vertical="center"/>
    </xf>
    <xf numFmtId="9" fontId="3" fillId="6" borderId="5" applyAlignment="1" pivotButton="0" quotePrefix="0" xfId="1">
      <alignment vertical="center"/>
    </xf>
    <xf numFmtId="0" fontId="1" fillId="5" borderId="9" applyAlignment="1" pivotButton="0" quotePrefix="0" xfId="1">
      <alignment horizontal="center" vertical="center" wrapText="1"/>
    </xf>
    <xf numFmtId="0" fontId="1" fillId="5" borderId="1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right" vertical="center"/>
    </xf>
    <xf numFmtId="0" fontId="1" fillId="3" borderId="2" applyAlignment="1" pivotButton="0" quotePrefix="0" xfId="1">
      <alignment horizontal="center" vertical="center"/>
    </xf>
    <xf numFmtId="0" fontId="1" fillId="3" borderId="1" applyAlignment="1" pivotButton="0" quotePrefix="0" xfId="1">
      <alignment horizontal="center" vertical="center"/>
    </xf>
    <xf numFmtId="0" fontId="1" fillId="5" borderId="2" applyAlignment="1" pivotButton="0" quotePrefix="0" xfId="1">
      <alignment horizontal="center" vertical="center" wrapText="1"/>
    </xf>
    <xf numFmtId="0" fontId="1" fillId="5" borderId="8" applyAlignment="1" pivotButton="0" quotePrefix="0" xfId="1">
      <alignment horizontal="center" vertical="center" wrapText="1"/>
    </xf>
    <xf numFmtId="0" fontId="1" fillId="5" borderId="1" applyAlignment="1" pivotButton="0" quotePrefix="0" xfId="1">
      <alignment horizontal="center" vertical="center" wrapText="1"/>
    </xf>
    <xf numFmtId="0" fontId="1" fillId="2" borderId="2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43" fontId="3" fillId="7" borderId="6" applyAlignment="1" pivotButton="0" quotePrefix="0" xfId="3">
      <alignment horizontal="center" vertical="center"/>
    </xf>
    <xf numFmtId="43" fontId="3" fillId="7" borderId="13" applyAlignment="1" pivotButton="0" quotePrefix="0" xfId="3">
      <alignment horizontal="center" vertical="center"/>
    </xf>
    <xf numFmtId="0" fontId="1" fillId="0" borderId="15" applyAlignment="1" pivotButton="0" quotePrefix="0" xfId="1">
      <alignment horizontal="center" vertical="center"/>
    </xf>
    <xf numFmtId="0" fontId="0" fillId="0" borderId="1" pivotButton="0" quotePrefix="0" xfId="0"/>
    <xf numFmtId="0" fontId="1" fillId="5" borderId="4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5" pivotButton="0" quotePrefix="0" xfId="0"/>
    <xf numFmtId="0" fontId="1" fillId="2" borderId="4" applyAlignment="1" pivotButton="0" quotePrefix="0" xfId="1">
      <alignment horizontal="center" vertical="center"/>
    </xf>
  </cellXfs>
  <cellStyles count="4">
    <cellStyle name="Normal" xfId="0" builtinId="0"/>
    <cellStyle name="Normal 2" xfId="1"/>
    <cellStyle name="Percent 2" xfId="2"/>
    <cellStyle name="Comma" xfId="3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111"/>
  <sheetViews>
    <sheetView tabSelected="1" view="pageBreakPreview" zoomScale="60" zoomScaleNormal="60" zoomScalePageLayoutView="60" workbookViewId="0">
      <selection activeCell="I123" sqref="I123"/>
    </sheetView>
  </sheetViews>
  <sheetFormatPr baseColWidth="8" defaultColWidth="9.140625" defaultRowHeight="15.75"/>
  <cols>
    <col width="5.7109375" customWidth="1" style="1" min="1" max="1"/>
    <col width="25.140625" customWidth="1" style="1" min="2" max="3"/>
    <col width="29.42578125" customWidth="1" style="1" min="4" max="4"/>
    <col width="15.7109375" customWidth="1" style="1" min="5" max="6"/>
    <col width="13.85546875" customWidth="1" style="1" min="7" max="7"/>
    <col width="17.140625" customWidth="1" style="1" min="8" max="8"/>
    <col width="20.28515625" customWidth="1" style="1" min="9" max="9"/>
    <col width="14.42578125" customWidth="1" style="1" min="10" max="10"/>
    <col width="16.42578125" customWidth="1" style="1" min="11" max="11"/>
    <col width="10.140625" customWidth="1" style="1" min="12" max="12"/>
    <col width="17.140625" customWidth="1" style="1" min="13" max="15"/>
    <col width="15.140625" customWidth="1" style="1" min="16" max="16"/>
    <col width="16.28515625" customWidth="1" style="1" min="17" max="17"/>
    <col width="19.42578125" customWidth="1" style="1" min="18" max="18"/>
    <col width="18.7109375" customWidth="1" style="1" min="19" max="19"/>
    <col width="9.140625" customWidth="1" style="1" min="20" max="16384"/>
  </cols>
  <sheetData>
    <row r="1" ht="86.09999999999999" customHeight="1">
      <c r="B1" s="43" t="inlineStr">
        <is>
          <t xml:space="preserve">Construction Management Institute 
Addis Ababa University - Construction Productivity Research Group </t>
        </is>
      </c>
    </row>
    <row r="2" ht="27" customHeight="1">
      <c r="B2" s="44" t="inlineStr">
        <is>
          <t xml:space="preserve"> PREPARATION OF NATIONAL PRODUCTIVITY NORM FOR WATER CONSTRUCTION TRADE</t>
        </is>
      </c>
    </row>
    <row r="3" ht="27" customHeight="1">
      <c r="B3" s="45" t="inlineStr">
        <is>
          <t xml:space="preserve">Excavator Productivity Data Collection Form </t>
        </is>
      </c>
    </row>
    <row r="4">
      <c r="B4" s="46" t="inlineStr">
        <is>
          <t>Form - 1</t>
        </is>
      </c>
    </row>
    <row r="5" ht="16.5" customHeight="1" thickBot="1"/>
    <row r="6" ht="27" customHeight="1" thickBot="1">
      <c r="B6" s="10" t="inlineStr">
        <is>
          <t xml:space="preserve">Project Code: </t>
        </is>
      </c>
      <c r="C6" s="10" t="n"/>
      <c r="D6" s="11" t="n"/>
      <c r="G6" s="19" t="inlineStr">
        <is>
          <t>Number of Equipment Types:</t>
        </is>
      </c>
      <c r="H6" s="57" t="n"/>
      <c r="I6" s="48" t="n"/>
      <c r="J6" s="2" t="n"/>
      <c r="L6" s="47" t="inlineStr">
        <is>
          <t>22_05_2017</t>
        </is>
      </c>
      <c r="M6" s="4" t="n">
        <v>1</v>
      </c>
      <c r="N6" s="4" t="inlineStr">
        <is>
          <t>Temesgen Atalay</t>
        </is>
      </c>
      <c r="O6" s="4" t="n">
        <v>1</v>
      </c>
    </row>
    <row r="7" ht="27" customHeight="1"/>
    <row r="8" ht="15" customHeight="1" thickBot="1">
      <c r="B8" s="5" t="n"/>
      <c r="C8" s="5" t="n"/>
      <c r="D8" s="5" t="n"/>
      <c r="E8" s="5" t="n"/>
      <c r="F8" s="5" t="n"/>
      <c r="G8" s="5" t="n"/>
      <c r="M8" s="5" t="n"/>
      <c r="N8" s="5" t="n"/>
      <c r="O8" s="5" t="n"/>
    </row>
    <row r="9" ht="32.25" customHeight="1" thickBot="1">
      <c r="B9" s="58" t="inlineStr">
        <is>
          <t>Equipment Tag</t>
        </is>
      </c>
      <c r="C9" s="58" t="inlineStr">
        <is>
          <t>Manpower (Foreman, Operator, Helper, Laborers, etc.)</t>
        </is>
      </c>
      <c r="D9" s="58" t="inlineStr">
        <is>
          <t>Excavator Type (Face Shovel, Hoe, Loader)</t>
        </is>
      </c>
      <c r="E9" s="58" t="inlineStr">
        <is>
          <t xml:space="preserve">Task Type </t>
        </is>
      </c>
      <c r="F9" s="58" t="inlineStr">
        <is>
          <t>Description</t>
        </is>
      </c>
      <c r="G9" s="58" t="inlineStr">
        <is>
          <t>Soil Type</t>
        </is>
      </c>
      <c r="H9" s="58" t="inlineStr">
        <is>
          <t>Factors</t>
        </is>
      </c>
      <c r="I9" s="59" t="n"/>
      <c r="J9" s="59" t="n"/>
      <c r="K9" s="57" t="n"/>
      <c r="L9" s="58" t="inlineStr">
        <is>
          <t>Unit</t>
        </is>
      </c>
      <c r="M9" s="58" t="inlineStr">
        <is>
          <t>Q Heaped Bucket Capcity</t>
        </is>
      </c>
      <c r="N9" s="58" t="inlineStr">
        <is>
          <t>T Cycle Time (seconds)</t>
        </is>
      </c>
      <c r="O9" s="58" t="inlineStr">
        <is>
          <t>Productivity (m3/hr)</t>
        </is>
      </c>
      <c r="P9" s="58" t="inlineStr">
        <is>
          <t>Ideal Productivity (m3/hr)</t>
        </is>
      </c>
      <c r="Q9" s="58" t="inlineStr">
        <is>
          <t>Overall Method Productivity (m3/hr)</t>
        </is>
      </c>
      <c r="R9" s="58" t="inlineStr">
        <is>
          <t>Ideal Cycle Variability (%)</t>
        </is>
      </c>
      <c r="S9" s="58" t="inlineStr">
        <is>
          <t>Overall Cycle Vairability (%)</t>
        </is>
      </c>
    </row>
    <row r="10" ht="42.75" customHeight="1" thickBot="1">
      <c r="B10" s="60" t="n"/>
      <c r="C10" s="60" t="n"/>
      <c r="D10" s="60" t="n"/>
      <c r="E10" s="60" t="n"/>
      <c r="F10" s="60" t="n"/>
      <c r="G10" s="60" t="n"/>
      <c r="H10" s="6" t="inlineStr">
        <is>
          <t>F (Bucket Fill Factor)</t>
        </is>
      </c>
      <c r="I10" s="6" t="inlineStr">
        <is>
          <t>AS:D (Angle of Swing and Depth of Cut)</t>
        </is>
      </c>
      <c r="J10" s="6" t="inlineStr">
        <is>
          <t>Volume Correction</t>
        </is>
      </c>
      <c r="K10" s="6" t="inlineStr">
        <is>
          <t xml:space="preserve">Efficiency </t>
        </is>
      </c>
      <c r="L10" s="60" t="n"/>
      <c r="M10" s="60" t="n"/>
      <c r="N10" s="60" t="n"/>
      <c r="O10" s="60" t="n"/>
      <c r="P10" s="60" t="n"/>
      <c r="Q10" s="60" t="n"/>
      <c r="R10" s="60" t="n"/>
      <c r="S10" s="60" t="n"/>
    </row>
    <row r="11" ht="33" customHeight="1">
      <c r="B11" s="7" t="n">
        <v>1</v>
      </c>
      <c r="C11" s="7" t="inlineStr">
        <is>
          <t xml:space="preserve">1/10 foreman 1 helper, 1 operator </t>
        </is>
      </c>
      <c r="D11" s="7" t="inlineStr">
        <is>
          <t>Hoe</t>
        </is>
      </c>
      <c r="E11" s="7" t="inlineStr">
        <is>
          <t>01 rock excavation using hydraulic excavator</t>
        </is>
      </c>
      <c r="F11" s="7" t="n"/>
      <c r="G11" s="7" t="inlineStr">
        <is>
          <t>rock</t>
        </is>
      </c>
      <c r="H11" s="7" t="n">
        <v>0.98</v>
      </c>
      <c r="I11" s="7" t="n">
        <v>0.98</v>
      </c>
      <c r="J11" s="7" t="n">
        <v>0.63</v>
      </c>
      <c r="K11" s="7" t="n">
        <v>60</v>
      </c>
      <c r="L11" s="7" t="n"/>
      <c r="M11" s="7" t="n">
        <v>1</v>
      </c>
      <c r="N11" s="7" t="n">
        <v>1823</v>
      </c>
      <c r="O11" s="7">
        <f>3600*M11*H11*I11*K11/(J11*N11*60)</f>
        <v/>
      </c>
      <c r="P11" s="39">
        <f>'MPDM 1'!H118*H11*I11*J11*M11</f>
        <v/>
      </c>
      <c r="Q11" s="39">
        <f>'MPDM 1'!K118*H11*I11*J11*M11</f>
        <v/>
      </c>
      <c r="R11" s="40">
        <f>'MPDM 1'!H119</f>
        <v/>
      </c>
      <c r="S11" s="40">
        <f>'MPDM 1'!K119</f>
        <v/>
      </c>
    </row>
    <row r="12" ht="33" customHeight="1">
      <c r="B12" s="8" t="n">
        <v>2</v>
      </c>
      <c r="C12" s="8" t="inlineStr">
        <is>
          <t xml:space="preserve">1/10 foreman 1 helper, 1 operator </t>
        </is>
      </c>
      <c r="D12" s="8" t="inlineStr">
        <is>
          <t>Hoe</t>
        </is>
      </c>
      <c r="E12" s="8" t="inlineStr">
        <is>
          <t>01 rock excavation using hydraulic excavator</t>
        </is>
      </c>
      <c r="F12" s="8" t="n"/>
      <c r="G12" s="8" t="inlineStr">
        <is>
          <t>rock</t>
        </is>
      </c>
      <c r="H12" s="8" t="n">
        <v>0.98</v>
      </c>
      <c r="I12" s="8" t="n">
        <v>0.98</v>
      </c>
      <c r="J12" s="8" t="n">
        <v>0.63</v>
      </c>
      <c r="K12" s="8" t="n">
        <v>60</v>
      </c>
      <c r="L12" s="8" t="n"/>
      <c r="M12" s="8" t="n">
        <v>1</v>
      </c>
      <c r="N12" s="8" t="n">
        <v>26</v>
      </c>
      <c r="O12" s="8">
        <f>3600*M12*H12*I12*K12/(J12*N12*60)</f>
        <v/>
      </c>
      <c r="P12" s="8" t="n"/>
      <c r="Q12" s="8" t="n"/>
      <c r="R12" s="8" t="n"/>
      <c r="S12" s="8" t="n"/>
    </row>
    <row r="13" ht="33" customHeight="1">
      <c r="B13" s="8" t="n">
        <v>3</v>
      </c>
      <c r="C13" s="8" t="inlineStr">
        <is>
          <t xml:space="preserve">1/10 foreman 1 helper, 1 operator </t>
        </is>
      </c>
      <c r="D13" s="8" t="inlineStr">
        <is>
          <t>Hoe</t>
        </is>
      </c>
      <c r="E13" s="8" t="inlineStr">
        <is>
          <t>01 rock excavation using hydraulic excavator</t>
        </is>
      </c>
      <c r="F13" s="8" t="n"/>
      <c r="G13" s="8" t="inlineStr">
        <is>
          <t>rock</t>
        </is>
      </c>
      <c r="H13" s="8" t="n">
        <v>0.98</v>
      </c>
      <c r="I13" s="8" t="n">
        <v>0.98</v>
      </c>
      <c r="J13" s="8" t="n">
        <v>0.63</v>
      </c>
      <c r="K13" s="8" t="n">
        <v>60</v>
      </c>
      <c r="L13" s="8" t="n"/>
      <c r="M13" s="8" t="n">
        <v>1</v>
      </c>
      <c r="N13" s="8" t="n">
        <v>22</v>
      </c>
      <c r="O13" s="8">
        <f>3600*M13*H13*I13*K13/(J13*N13*60)</f>
        <v/>
      </c>
      <c r="P13" s="8" t="n"/>
      <c r="Q13" s="8" t="n"/>
      <c r="R13" s="8" t="n"/>
      <c r="S13" s="8" t="n"/>
    </row>
    <row r="14" ht="33" customHeight="1">
      <c r="B14" s="8" t="n">
        <v>4</v>
      </c>
      <c r="C14" s="8" t="inlineStr">
        <is>
          <t xml:space="preserve">1/10 foreman 1 helper, 1 operator </t>
        </is>
      </c>
      <c r="D14" s="8" t="inlineStr">
        <is>
          <t>Hoe</t>
        </is>
      </c>
      <c r="E14" s="8" t="inlineStr">
        <is>
          <t>01 rock excavation using hydraulic excavator</t>
        </is>
      </c>
      <c r="F14" s="8" t="n"/>
      <c r="G14" s="8" t="inlineStr">
        <is>
          <t>rock</t>
        </is>
      </c>
      <c r="H14" s="8" t="n">
        <v>0.98</v>
      </c>
      <c r="I14" s="8" t="n">
        <v>0.98</v>
      </c>
      <c r="J14" s="8" t="n">
        <v>0.63</v>
      </c>
      <c r="K14" s="8" t="n">
        <v>60</v>
      </c>
      <c r="L14" s="8" t="n"/>
      <c r="M14" s="8" t="n">
        <v>1</v>
      </c>
      <c r="N14" s="8" t="n">
        <v>23</v>
      </c>
      <c r="O14" s="8">
        <f>3600*M14*H14*I14*K14/(J14*N14*60)</f>
        <v/>
      </c>
      <c r="P14" s="8" t="n"/>
      <c r="Q14" s="8" t="n"/>
      <c r="R14" s="8" t="n"/>
      <c r="S14" s="8" t="n"/>
    </row>
    <row r="15" ht="33" customHeight="1" thickBot="1">
      <c r="B15" s="9" t="n">
        <v>5</v>
      </c>
      <c r="C15" s="9" t="inlineStr">
        <is>
          <t xml:space="preserve">1/10 foreman 1 helper, 1 operator </t>
        </is>
      </c>
      <c r="D15" s="9" t="inlineStr">
        <is>
          <t>Hoe</t>
        </is>
      </c>
      <c r="E15" s="9" t="inlineStr">
        <is>
          <t>01 rock excavation using hydraulic excavator</t>
        </is>
      </c>
      <c r="F15" s="9" t="n"/>
      <c r="G15" s="9" t="inlineStr">
        <is>
          <t>rock</t>
        </is>
      </c>
      <c r="H15" s="9" t="n">
        <v>0.98</v>
      </c>
      <c r="I15" s="9" t="n">
        <v>0.98</v>
      </c>
      <c r="J15" s="9" t="n">
        <v>0.63</v>
      </c>
      <c r="K15" s="9" t="n">
        <v>60</v>
      </c>
      <c r="L15" s="9" t="n"/>
      <c r="M15" s="9" t="n">
        <v>1</v>
      </c>
      <c r="N15" s="9" t="n">
        <v>19</v>
      </c>
      <c r="O15" s="9">
        <f>3600*M15*H15*I15*K15/(J15*N15*60)</f>
        <v/>
      </c>
      <c r="P15" s="9" t="n"/>
      <c r="Q15" s="9" t="n"/>
      <c r="R15" s="9" t="n"/>
      <c r="S15" s="9" t="n"/>
    </row>
    <row r="16" ht="33" customHeight="1">
      <c r="B16" s="7" t="n">
        <v>6</v>
      </c>
      <c r="C16" s="7" t="inlineStr">
        <is>
          <t xml:space="preserve">1/10 foreman 1 helper, 1 operator </t>
        </is>
      </c>
      <c r="D16" s="7" t="inlineStr">
        <is>
          <t>Hoe</t>
        </is>
      </c>
      <c r="E16" s="7" t="inlineStr">
        <is>
          <t>01 rock excavation using hydraulic excavator</t>
        </is>
      </c>
      <c r="F16" s="7" t="n"/>
      <c r="G16" s="7" t="inlineStr">
        <is>
          <t>rock</t>
        </is>
      </c>
      <c r="H16" s="7" t="n">
        <v>0.98</v>
      </c>
      <c r="I16" s="7" t="n">
        <v>0.98</v>
      </c>
      <c r="J16" s="7" t="n">
        <v>0.63</v>
      </c>
      <c r="K16" s="7" t="n">
        <v>60</v>
      </c>
      <c r="L16" s="7" t="n"/>
      <c r="M16" s="7" t="n">
        <v>1</v>
      </c>
      <c r="N16" s="7" t="n">
        <v>28</v>
      </c>
      <c r="O16" s="7">
        <f>3600*M16*H16*I16*K16/(J16*N16*60)</f>
        <v/>
      </c>
      <c r="P16" s="7" t="n"/>
      <c r="Q16" s="7" t="n"/>
      <c r="R16" s="7" t="n"/>
      <c r="S16" s="7" t="n"/>
    </row>
    <row r="17" ht="33" customHeight="1">
      <c r="B17" s="8" t="n">
        <v>7</v>
      </c>
      <c r="C17" s="8" t="inlineStr">
        <is>
          <t xml:space="preserve">1/10 foreman 1 helper, 1 operator </t>
        </is>
      </c>
      <c r="D17" s="8" t="inlineStr">
        <is>
          <t>Hoe</t>
        </is>
      </c>
      <c r="E17" s="8" t="inlineStr">
        <is>
          <t>01 rock excavation using hydraulic excavator</t>
        </is>
      </c>
      <c r="F17" s="8" t="n"/>
      <c r="G17" s="8" t="inlineStr">
        <is>
          <t>rock</t>
        </is>
      </c>
      <c r="H17" s="8" t="n">
        <v>0.98</v>
      </c>
      <c r="I17" s="8" t="n">
        <v>0.98</v>
      </c>
      <c r="J17" s="8" t="n">
        <v>0.63</v>
      </c>
      <c r="K17" s="8" t="n">
        <v>60</v>
      </c>
      <c r="L17" s="8" t="n"/>
      <c r="M17" s="8" t="n">
        <v>1</v>
      </c>
      <c r="N17" s="8" t="n">
        <v>25</v>
      </c>
      <c r="O17" s="8">
        <f>3600*M17*H17*I17*K17/(J17*N17*60)</f>
        <v/>
      </c>
      <c r="P17" s="8" t="n"/>
      <c r="Q17" s="8" t="n"/>
      <c r="R17" s="8" t="n"/>
      <c r="S17" s="8" t="n"/>
    </row>
    <row r="18" ht="33" customHeight="1">
      <c r="B18" s="8" t="n">
        <v>8</v>
      </c>
      <c r="C18" s="8" t="inlineStr">
        <is>
          <t xml:space="preserve">1/10 foreman 1 helper, 1 operator </t>
        </is>
      </c>
      <c r="D18" s="8" t="inlineStr">
        <is>
          <t>Hoe</t>
        </is>
      </c>
      <c r="E18" s="8" t="inlineStr">
        <is>
          <t>01 rock excavation using hydraulic excavator</t>
        </is>
      </c>
      <c r="F18" s="8" t="n"/>
      <c r="G18" s="8" t="inlineStr">
        <is>
          <t>rock</t>
        </is>
      </c>
      <c r="H18" s="8" t="n">
        <v>0.98</v>
      </c>
      <c r="I18" s="8" t="n">
        <v>0.98</v>
      </c>
      <c r="J18" s="8" t="n">
        <v>0.63</v>
      </c>
      <c r="K18" s="8" t="n">
        <v>60</v>
      </c>
      <c r="L18" s="8" t="n"/>
      <c r="M18" s="8" t="n">
        <v>1</v>
      </c>
      <c r="N18" s="8" t="n">
        <v>28</v>
      </c>
      <c r="O18" s="8">
        <f>3600*M18*H18*I18*K18/(J18*N18*60)</f>
        <v/>
      </c>
      <c r="P18" s="8" t="n"/>
      <c r="Q18" s="8" t="n"/>
      <c r="R18" s="8" t="n"/>
      <c r="S18" s="8" t="n"/>
    </row>
    <row r="19" ht="33" customHeight="1">
      <c r="B19" s="8" t="n">
        <v>9</v>
      </c>
      <c r="C19" s="8" t="inlineStr">
        <is>
          <t xml:space="preserve">1/10 foreman 1 helper, 1 operator </t>
        </is>
      </c>
      <c r="D19" s="8" t="inlineStr">
        <is>
          <t>Hoe</t>
        </is>
      </c>
      <c r="E19" s="8" t="inlineStr">
        <is>
          <t>01 rock excavation using hydraulic excavator</t>
        </is>
      </c>
      <c r="F19" s="8" t="n"/>
      <c r="G19" s="8" t="inlineStr">
        <is>
          <t>rock</t>
        </is>
      </c>
      <c r="H19" s="8" t="n">
        <v>0.98</v>
      </c>
      <c r="I19" s="8" t="n">
        <v>0.98</v>
      </c>
      <c r="J19" s="8" t="n">
        <v>0.63</v>
      </c>
      <c r="K19" s="8" t="n">
        <v>60</v>
      </c>
      <c r="L19" s="8" t="n"/>
      <c r="M19" s="8" t="n">
        <v>1</v>
      </c>
      <c r="N19" s="8" t="n">
        <v>42</v>
      </c>
      <c r="O19" s="8">
        <f>3600*M19*H19*I19*K19/(J19*N19*60)</f>
        <v/>
      </c>
      <c r="P19" s="8" t="n"/>
      <c r="Q19" s="8" t="n"/>
      <c r="R19" s="8" t="n"/>
      <c r="S19" s="8" t="n"/>
    </row>
    <row r="20" ht="33" customHeight="1" thickBot="1">
      <c r="B20" s="9" t="n">
        <v>10</v>
      </c>
      <c r="C20" s="9" t="inlineStr">
        <is>
          <t xml:space="preserve">1/10 foreman 1 helper, 1 operator </t>
        </is>
      </c>
      <c r="D20" s="9" t="inlineStr">
        <is>
          <t>Hoe</t>
        </is>
      </c>
      <c r="E20" s="9" t="inlineStr">
        <is>
          <t>01 rock excavation using hydraulic excavator</t>
        </is>
      </c>
      <c r="F20" s="9" t="n"/>
      <c r="G20" s="9" t="inlineStr">
        <is>
          <t>rock</t>
        </is>
      </c>
      <c r="H20" s="9" t="n">
        <v>0.98</v>
      </c>
      <c r="I20" s="9" t="n">
        <v>0.98</v>
      </c>
      <c r="J20" s="9" t="n">
        <v>0.63</v>
      </c>
      <c r="K20" s="9" t="n">
        <v>60</v>
      </c>
      <c r="L20" s="9" t="n"/>
      <c r="M20" s="9" t="n">
        <v>1</v>
      </c>
      <c r="N20" s="9" t="n">
        <v>15</v>
      </c>
      <c r="O20" s="9">
        <f>3600*M20*H20*I20*K20/(J20*N20*60)</f>
        <v/>
      </c>
      <c r="P20" s="9" t="n"/>
      <c r="Q20" s="9" t="n"/>
      <c r="R20" s="9" t="n"/>
      <c r="S20" s="9" t="n"/>
    </row>
    <row r="21">
      <c r="B21" s="7" t="n">
        <v>11</v>
      </c>
      <c r="C21" s="7" t="inlineStr">
        <is>
          <t xml:space="preserve">1/10 foreman 1 helper, 1 operator </t>
        </is>
      </c>
      <c r="D21" s="7" t="inlineStr">
        <is>
          <t>Hoe</t>
        </is>
      </c>
      <c r="E21" s="7" t="inlineStr">
        <is>
          <t>01 rock excavation using hydraulic excavator</t>
        </is>
      </c>
      <c r="F21" s="7" t="n"/>
      <c r="G21" s="7" t="inlineStr">
        <is>
          <t>rock</t>
        </is>
      </c>
      <c r="H21" s="7" t="n">
        <v>0.98</v>
      </c>
      <c r="I21" s="7" t="n">
        <v>0.98</v>
      </c>
      <c r="J21" s="7" t="n">
        <v>0.63</v>
      </c>
      <c r="K21" s="7" t="n">
        <v>60</v>
      </c>
      <c r="L21" s="7" t="n"/>
      <c r="M21" s="7" t="n">
        <v>1</v>
      </c>
      <c r="N21" s="7" t="n">
        <v>65</v>
      </c>
      <c r="O21" s="7">
        <f>3600*M21*H21*I21*K21/(J21*N21*60)</f>
        <v/>
      </c>
      <c r="P21" s="7" t="n"/>
      <c r="Q21" s="7" t="n"/>
      <c r="R21" s="7" t="n"/>
      <c r="S21" s="7" t="n"/>
    </row>
    <row r="22">
      <c r="B22" s="8" t="n">
        <v>12</v>
      </c>
      <c r="C22" s="8" t="inlineStr">
        <is>
          <t xml:space="preserve">1/10 foreman 1 helper, 1 operator </t>
        </is>
      </c>
      <c r="D22" s="8" t="inlineStr">
        <is>
          <t>Hoe</t>
        </is>
      </c>
      <c r="E22" s="8" t="inlineStr">
        <is>
          <t>01 rock excavation using hydraulic excavator</t>
        </is>
      </c>
      <c r="F22" s="8" t="n"/>
      <c r="G22" s="8" t="inlineStr">
        <is>
          <t>rock</t>
        </is>
      </c>
      <c r="H22" s="8" t="n">
        <v>0.98</v>
      </c>
      <c r="I22" s="8" t="n">
        <v>0.98</v>
      </c>
      <c r="J22" s="8" t="n">
        <v>0.63</v>
      </c>
      <c r="K22" s="8" t="n">
        <v>60</v>
      </c>
      <c r="L22" s="8" t="n"/>
      <c r="M22" s="8" t="n">
        <v>1</v>
      </c>
      <c r="N22" s="8" t="n">
        <v>35</v>
      </c>
      <c r="O22" s="8">
        <f>3600*M22*H22*I22*K22/(J22*N22*60)</f>
        <v/>
      </c>
      <c r="P22" s="8" t="n"/>
      <c r="Q22" s="8" t="n"/>
      <c r="R22" s="8" t="n"/>
      <c r="S22" s="8" t="n"/>
    </row>
    <row r="23">
      <c r="B23" s="8" t="n">
        <v>13</v>
      </c>
      <c r="C23" s="8" t="inlineStr">
        <is>
          <t xml:space="preserve">1/10 foreman 1 helper, 1 operator </t>
        </is>
      </c>
      <c r="D23" s="8" t="inlineStr">
        <is>
          <t>Hoe</t>
        </is>
      </c>
      <c r="E23" s="8" t="inlineStr">
        <is>
          <t>01 rock excavation using hydraulic excavator</t>
        </is>
      </c>
      <c r="F23" s="8" t="n"/>
      <c r="G23" s="8" t="inlineStr">
        <is>
          <t>rock</t>
        </is>
      </c>
      <c r="H23" s="8" t="n">
        <v>0.98</v>
      </c>
      <c r="I23" s="8" t="n">
        <v>0.98</v>
      </c>
      <c r="J23" s="8" t="n">
        <v>0.63</v>
      </c>
      <c r="K23" s="8" t="n">
        <v>60</v>
      </c>
      <c r="L23" s="8" t="n"/>
      <c r="M23" s="8" t="n">
        <v>1</v>
      </c>
      <c r="N23" s="8" t="n">
        <v>24</v>
      </c>
      <c r="O23" s="8">
        <f>3600*M23*H23*I23*K23/(J23*N23*60)</f>
        <v/>
      </c>
      <c r="P23" s="8" t="n"/>
      <c r="Q23" s="8" t="n"/>
      <c r="R23" s="8" t="n"/>
      <c r="S23" s="8" t="n"/>
    </row>
    <row r="24">
      <c r="B24" s="8" t="n">
        <v>14</v>
      </c>
      <c r="C24" s="8" t="inlineStr">
        <is>
          <t xml:space="preserve">1/10 foreman 1 helper, 1 operator </t>
        </is>
      </c>
      <c r="D24" s="8" t="inlineStr">
        <is>
          <t>Hoe</t>
        </is>
      </c>
      <c r="E24" s="8" t="inlineStr">
        <is>
          <t>01 rock excavation using hydraulic excavator</t>
        </is>
      </c>
      <c r="F24" s="8" t="n"/>
      <c r="G24" s="8" t="inlineStr">
        <is>
          <t>rock</t>
        </is>
      </c>
      <c r="H24" s="8" t="n">
        <v>0.98</v>
      </c>
      <c r="I24" s="8" t="n">
        <v>0.98</v>
      </c>
      <c r="J24" s="8" t="n">
        <v>0.63</v>
      </c>
      <c r="K24" s="8" t="n">
        <v>60</v>
      </c>
      <c r="L24" s="8" t="n"/>
      <c r="M24" s="8" t="n">
        <v>1</v>
      </c>
      <c r="N24" s="8" t="n">
        <v>27</v>
      </c>
      <c r="O24" s="8">
        <f>3600*M24*H24*I24*K24/(J24*N24*60)</f>
        <v/>
      </c>
      <c r="P24" s="8" t="n"/>
      <c r="Q24" s="8" t="n"/>
      <c r="R24" s="8" t="n"/>
      <c r="S24" s="8" t="n"/>
    </row>
    <row r="25" ht="16.5" customHeight="1" thickBot="1">
      <c r="B25" s="9" t="n">
        <v>15</v>
      </c>
      <c r="C25" s="9" t="inlineStr">
        <is>
          <t xml:space="preserve">1/10 foreman 1 helper, 1 operator </t>
        </is>
      </c>
      <c r="D25" s="9" t="inlineStr">
        <is>
          <t>Hoe</t>
        </is>
      </c>
      <c r="E25" s="9" t="inlineStr">
        <is>
          <t>01 rock excavation using hydraulic excavator</t>
        </is>
      </c>
      <c r="F25" s="9" t="n"/>
      <c r="G25" s="9" t="inlineStr">
        <is>
          <t>rock</t>
        </is>
      </c>
      <c r="H25" s="9" t="n">
        <v>0.98</v>
      </c>
      <c r="I25" s="9" t="n">
        <v>0.98</v>
      </c>
      <c r="J25" s="9" t="n">
        <v>0.63</v>
      </c>
      <c r="K25" s="9" t="n">
        <v>60</v>
      </c>
      <c r="L25" s="9" t="n"/>
      <c r="M25" s="9" t="n">
        <v>1</v>
      </c>
      <c r="N25" s="9" t="n">
        <v>21</v>
      </c>
      <c r="O25" s="9">
        <f>3600*M25*H25*I25*K25/(J25*N25*60)</f>
        <v/>
      </c>
      <c r="P25" s="9" t="n"/>
      <c r="Q25" s="9" t="n"/>
      <c r="R25" s="9" t="n"/>
      <c r="S25" s="9" t="n"/>
    </row>
    <row r="26">
      <c r="B26" s="7" t="n">
        <v>16</v>
      </c>
      <c r="C26" s="7" t="inlineStr">
        <is>
          <t xml:space="preserve">1/10 foreman 1 helper, 1 operator </t>
        </is>
      </c>
      <c r="D26" s="7" t="inlineStr">
        <is>
          <t>Hoe</t>
        </is>
      </c>
      <c r="E26" s="7" t="inlineStr">
        <is>
          <t>01 rock excavation using hydraulic excavator</t>
        </is>
      </c>
      <c r="F26" s="7" t="n"/>
      <c r="G26" s="7" t="inlineStr">
        <is>
          <t>rock</t>
        </is>
      </c>
      <c r="H26" s="7" t="n">
        <v>0.98</v>
      </c>
      <c r="I26" s="7" t="n">
        <v>0.98</v>
      </c>
      <c r="J26" s="7" t="n">
        <v>0.63</v>
      </c>
      <c r="K26" s="7" t="n">
        <v>60</v>
      </c>
      <c r="L26" s="7" t="n"/>
      <c r="M26" s="7" t="n">
        <v>1</v>
      </c>
      <c r="N26" s="7" t="n">
        <v>20</v>
      </c>
      <c r="O26" s="7">
        <f>3600*M26*H26*I26*K26/(J26*N26*60)</f>
        <v/>
      </c>
      <c r="P26" s="7" t="n"/>
      <c r="Q26" s="7" t="n"/>
      <c r="R26" s="7" t="n"/>
      <c r="S26" s="7" t="n"/>
    </row>
    <row r="27">
      <c r="B27" s="8" t="n">
        <v>17</v>
      </c>
      <c r="C27" s="8" t="inlineStr">
        <is>
          <t xml:space="preserve">1/10 foreman 1 helper, 1 operator </t>
        </is>
      </c>
      <c r="D27" s="8" t="inlineStr">
        <is>
          <t>Hoe</t>
        </is>
      </c>
      <c r="E27" s="8" t="inlineStr">
        <is>
          <t>01 rock excavation using hydraulic excavator</t>
        </is>
      </c>
      <c r="F27" s="8" t="n"/>
      <c r="G27" s="8" t="inlineStr">
        <is>
          <t>rock</t>
        </is>
      </c>
      <c r="H27" s="8" t="n">
        <v>0.98</v>
      </c>
      <c r="I27" s="8" t="n">
        <v>0.98</v>
      </c>
      <c r="J27" s="8" t="n">
        <v>0.63</v>
      </c>
      <c r="K27" s="8" t="n">
        <v>60</v>
      </c>
      <c r="L27" s="8" t="n"/>
      <c r="M27" s="8" t="n">
        <v>1</v>
      </c>
      <c r="N27" s="8" t="n">
        <v>27</v>
      </c>
      <c r="O27" s="8">
        <f>3600*M27*H27*I27*K27/(J27*N27*60)</f>
        <v/>
      </c>
      <c r="P27" s="8" t="n"/>
      <c r="Q27" s="8" t="n"/>
      <c r="R27" s="8" t="n"/>
      <c r="S27" s="8" t="n"/>
    </row>
    <row r="28">
      <c r="B28" s="8" t="n">
        <v>18</v>
      </c>
      <c r="C28" s="8" t="inlineStr">
        <is>
          <t xml:space="preserve">1/10 foreman 1 helper, 1 operator </t>
        </is>
      </c>
      <c r="D28" s="8" t="inlineStr">
        <is>
          <t>Hoe</t>
        </is>
      </c>
      <c r="E28" s="8" t="inlineStr">
        <is>
          <t>01 rock excavation using hydraulic excavator</t>
        </is>
      </c>
      <c r="F28" s="8" t="n"/>
      <c r="G28" s="8" t="inlineStr">
        <is>
          <t>rock</t>
        </is>
      </c>
      <c r="H28" s="8" t="n">
        <v>0.98</v>
      </c>
      <c r="I28" s="8" t="n">
        <v>0.98</v>
      </c>
      <c r="J28" s="8" t="n">
        <v>0.63</v>
      </c>
      <c r="K28" s="8" t="n">
        <v>60</v>
      </c>
      <c r="L28" s="8" t="n"/>
      <c r="M28" s="8" t="n">
        <v>1</v>
      </c>
      <c r="N28" s="8" t="n">
        <v>23</v>
      </c>
      <c r="O28" s="8">
        <f>3600*M28*H28*I28*K28/(J28*N28*60)</f>
        <v/>
      </c>
      <c r="P28" s="8" t="n"/>
      <c r="Q28" s="8" t="n"/>
      <c r="R28" s="8" t="n"/>
      <c r="S28" s="8" t="n"/>
    </row>
    <row r="29">
      <c r="B29" s="8" t="n">
        <v>19</v>
      </c>
      <c r="C29" s="8" t="inlineStr">
        <is>
          <t xml:space="preserve">1/10 foreman 1 helper, 1 operator </t>
        </is>
      </c>
      <c r="D29" s="8" t="inlineStr">
        <is>
          <t>Hoe</t>
        </is>
      </c>
      <c r="E29" s="8" t="inlineStr">
        <is>
          <t>01 rock excavation using hydraulic excavator</t>
        </is>
      </c>
      <c r="F29" s="8" t="n"/>
      <c r="G29" s="8" t="inlineStr">
        <is>
          <t>rock</t>
        </is>
      </c>
      <c r="H29" s="8" t="n">
        <v>0.98</v>
      </c>
      <c r="I29" s="8" t="n">
        <v>0.98</v>
      </c>
      <c r="J29" s="8" t="n">
        <v>0.63</v>
      </c>
      <c r="K29" s="8" t="n">
        <v>60</v>
      </c>
      <c r="L29" s="8" t="n"/>
      <c r="M29" s="8" t="n">
        <v>1</v>
      </c>
      <c r="N29" s="8" t="n">
        <v>26</v>
      </c>
      <c r="O29" s="8">
        <f>3600*M29*H29*I29*K29/(J29*N29*60)</f>
        <v/>
      </c>
      <c r="P29" s="8" t="n"/>
      <c r="Q29" s="8" t="n"/>
      <c r="R29" s="8" t="n"/>
      <c r="S29" s="8" t="n"/>
    </row>
    <row r="30" ht="16.5" customHeight="1" thickBot="1">
      <c r="B30" s="9" t="n">
        <v>20</v>
      </c>
      <c r="C30" s="9" t="inlineStr">
        <is>
          <t xml:space="preserve">1/10 foreman 1 helper, 1 operator </t>
        </is>
      </c>
      <c r="D30" s="9" t="inlineStr">
        <is>
          <t>Hoe</t>
        </is>
      </c>
      <c r="E30" s="9" t="inlineStr">
        <is>
          <t>01 rock excavation using hydraulic excavator</t>
        </is>
      </c>
      <c r="F30" s="9" t="n"/>
      <c r="G30" s="9" t="inlineStr">
        <is>
          <t>rock</t>
        </is>
      </c>
      <c r="H30" s="9" t="n">
        <v>0.98</v>
      </c>
      <c r="I30" s="9" t="n">
        <v>0.98</v>
      </c>
      <c r="J30" s="9" t="n">
        <v>0.63</v>
      </c>
      <c r="K30" s="9" t="n">
        <v>60</v>
      </c>
      <c r="L30" s="9" t="n"/>
      <c r="M30" s="9" t="n">
        <v>1</v>
      </c>
      <c r="N30" s="9" t="n">
        <v>24</v>
      </c>
      <c r="O30" s="9">
        <f>3600*M30*H30*I30*K30/(J30*N30*60)</f>
        <v/>
      </c>
      <c r="P30" s="9" t="n"/>
      <c r="Q30" s="9" t="n"/>
      <c r="R30" s="9" t="n"/>
      <c r="S30" s="9" t="n"/>
    </row>
    <row r="31">
      <c r="B31" s="7" t="n">
        <v>21</v>
      </c>
      <c r="C31" s="7" t="inlineStr">
        <is>
          <t xml:space="preserve">1/10 foreman 1 helper, 1 operator </t>
        </is>
      </c>
      <c r="D31" s="7" t="inlineStr">
        <is>
          <t>Hoe</t>
        </is>
      </c>
      <c r="E31" s="7" t="inlineStr">
        <is>
          <t>01 rock excavation using hydraulic excavator</t>
        </is>
      </c>
      <c r="F31" s="7" t="n"/>
      <c r="G31" s="7" t="inlineStr">
        <is>
          <t>rock</t>
        </is>
      </c>
      <c r="H31" s="7" t="n">
        <v>0.98</v>
      </c>
      <c r="I31" s="7" t="n">
        <v>0.98</v>
      </c>
      <c r="J31" s="7" t="n">
        <v>0.63</v>
      </c>
      <c r="K31" s="7" t="n">
        <v>60</v>
      </c>
      <c r="L31" s="7" t="n"/>
      <c r="M31" s="7" t="n">
        <v>1</v>
      </c>
      <c r="N31" s="7" t="n">
        <v>309</v>
      </c>
      <c r="O31" s="7">
        <f>3600*M31*H31*I31*K31/(J31*N31*60)</f>
        <v/>
      </c>
      <c r="P31" s="7" t="n"/>
      <c r="Q31" s="7" t="n"/>
      <c r="R31" s="7" t="n"/>
      <c r="S31" s="7" t="n"/>
    </row>
    <row r="32">
      <c r="B32" s="8" t="n">
        <v>22</v>
      </c>
      <c r="C32" s="8" t="inlineStr">
        <is>
          <t xml:space="preserve">1/10 foreman 1 helper, 1 operator </t>
        </is>
      </c>
      <c r="D32" s="8" t="inlineStr">
        <is>
          <t>Hoe</t>
        </is>
      </c>
      <c r="E32" s="8" t="inlineStr">
        <is>
          <t>01 rock excavation using hydraulic excavator</t>
        </is>
      </c>
      <c r="F32" s="8" t="n"/>
      <c r="G32" s="8" t="inlineStr">
        <is>
          <t>rock</t>
        </is>
      </c>
      <c r="H32" s="8" t="n">
        <v>0.98</v>
      </c>
      <c r="I32" s="8" t="n">
        <v>0.98</v>
      </c>
      <c r="J32" s="8" t="n">
        <v>0.63</v>
      </c>
      <c r="K32" s="8" t="n">
        <v>60</v>
      </c>
      <c r="L32" s="8" t="n"/>
      <c r="M32" s="8" t="n">
        <v>1</v>
      </c>
      <c r="N32" s="8" t="n">
        <v>20</v>
      </c>
      <c r="O32" s="8">
        <f>3600*M32*H32*I32*K32/(J32*N32*60)</f>
        <v/>
      </c>
      <c r="P32" s="8" t="n"/>
      <c r="Q32" s="8" t="n"/>
      <c r="R32" s="8" t="n"/>
      <c r="S32" s="8" t="n"/>
    </row>
    <row r="33">
      <c r="B33" s="8" t="n">
        <v>23</v>
      </c>
      <c r="C33" s="8" t="inlineStr">
        <is>
          <t xml:space="preserve">1/10 foreman 1 helper, 1 operator </t>
        </is>
      </c>
      <c r="D33" s="8" t="inlineStr">
        <is>
          <t>Hoe</t>
        </is>
      </c>
      <c r="E33" s="8" t="inlineStr">
        <is>
          <t>01 rock excavation using hydraulic excavator</t>
        </is>
      </c>
      <c r="F33" s="8" t="n"/>
      <c r="G33" s="8" t="inlineStr">
        <is>
          <t>rock</t>
        </is>
      </c>
      <c r="H33" s="8" t="n">
        <v>0.98</v>
      </c>
      <c r="I33" s="8" t="n">
        <v>0.98</v>
      </c>
      <c r="J33" s="8" t="n">
        <v>0.63</v>
      </c>
      <c r="K33" s="8" t="n">
        <v>60</v>
      </c>
      <c r="L33" s="8" t="n"/>
      <c r="M33" s="8" t="n">
        <v>1</v>
      </c>
      <c r="N33" s="8" t="n">
        <v>24</v>
      </c>
      <c r="O33" s="8">
        <f>3600*M33*H33*I33*K33/(J33*N33*60)</f>
        <v/>
      </c>
      <c r="P33" s="8" t="n"/>
      <c r="Q33" s="8" t="n"/>
      <c r="R33" s="8" t="n"/>
      <c r="S33" s="8" t="n"/>
    </row>
    <row r="34">
      <c r="B34" s="8" t="n">
        <v>24</v>
      </c>
      <c r="C34" s="8" t="inlineStr">
        <is>
          <t xml:space="preserve">1/10 foreman 1 helper, 1 operator </t>
        </is>
      </c>
      <c r="D34" s="8" t="inlineStr">
        <is>
          <t>Hoe</t>
        </is>
      </c>
      <c r="E34" s="8" t="inlineStr">
        <is>
          <t>01 rock excavation using hydraulic excavator</t>
        </is>
      </c>
      <c r="F34" s="8" t="n"/>
      <c r="G34" s="8" t="inlineStr">
        <is>
          <t>rock</t>
        </is>
      </c>
      <c r="H34" s="8" t="n">
        <v>0.98</v>
      </c>
      <c r="I34" s="8" t="n">
        <v>0.98</v>
      </c>
      <c r="J34" s="8" t="n">
        <v>0.63</v>
      </c>
      <c r="K34" s="8" t="n">
        <v>60</v>
      </c>
      <c r="L34" s="8" t="n"/>
      <c r="M34" s="8" t="n">
        <v>1</v>
      </c>
      <c r="N34" s="8" t="n">
        <v>22</v>
      </c>
      <c r="O34" s="8">
        <f>3600*M34*H34*I34*K34/(J34*N34*60)</f>
        <v/>
      </c>
      <c r="P34" s="8" t="n"/>
      <c r="Q34" s="8" t="n"/>
      <c r="R34" s="8" t="n"/>
      <c r="S34" s="8" t="n"/>
    </row>
    <row r="35" ht="16.5" customHeight="1" thickBot="1">
      <c r="B35" s="9" t="n">
        <v>25</v>
      </c>
      <c r="C35" s="9" t="inlineStr">
        <is>
          <t xml:space="preserve">1/10 foreman 1 helper, 1 operator </t>
        </is>
      </c>
      <c r="D35" s="9" t="inlineStr">
        <is>
          <t>Hoe</t>
        </is>
      </c>
      <c r="E35" s="9" t="inlineStr">
        <is>
          <t>01 rock excavation using hydraulic excavator</t>
        </is>
      </c>
      <c r="F35" s="9" t="n"/>
      <c r="G35" s="9" t="inlineStr">
        <is>
          <t>rock</t>
        </is>
      </c>
      <c r="H35" s="9" t="n">
        <v>0.98</v>
      </c>
      <c r="I35" s="9" t="n">
        <v>0.98</v>
      </c>
      <c r="J35" s="9" t="n">
        <v>0.63</v>
      </c>
      <c r="K35" s="9" t="n">
        <v>60</v>
      </c>
      <c r="L35" s="9" t="n"/>
      <c r="M35" s="9" t="n">
        <v>1</v>
      </c>
      <c r="N35" s="9" t="n">
        <v>29</v>
      </c>
      <c r="O35" s="9">
        <f>3600*M35*H35*I35*K35/(J35*N35*60)</f>
        <v/>
      </c>
      <c r="P35" s="9" t="n"/>
      <c r="Q35" s="9" t="n"/>
      <c r="R35" s="9" t="n"/>
      <c r="S35" s="9" t="n"/>
    </row>
    <row r="36">
      <c r="B36" s="7" t="n">
        <v>26</v>
      </c>
      <c r="C36" s="7" t="inlineStr">
        <is>
          <t xml:space="preserve">1/10 foreman 1 helper, 1 operator </t>
        </is>
      </c>
      <c r="D36" s="7" t="inlineStr">
        <is>
          <t>Hoe</t>
        </is>
      </c>
      <c r="E36" s="7" t="inlineStr">
        <is>
          <t>01 rock excavation using hydraulic excavator</t>
        </is>
      </c>
      <c r="F36" s="7" t="n"/>
      <c r="G36" s="7" t="inlineStr">
        <is>
          <t>rock</t>
        </is>
      </c>
      <c r="H36" s="7" t="n">
        <v>0.98</v>
      </c>
      <c r="I36" s="7" t="n">
        <v>0.98</v>
      </c>
      <c r="J36" s="7" t="n">
        <v>0.63</v>
      </c>
      <c r="K36" s="7" t="n">
        <v>60</v>
      </c>
      <c r="L36" s="7" t="n"/>
      <c r="M36" s="7" t="n">
        <v>1</v>
      </c>
      <c r="N36" s="7" t="n">
        <v>26</v>
      </c>
      <c r="O36" s="7">
        <f>3600*M36*H36*I36*K36/(J36*N36*60)</f>
        <v/>
      </c>
      <c r="P36" s="7" t="n"/>
      <c r="Q36" s="7" t="n"/>
      <c r="R36" s="7" t="n"/>
      <c r="S36" s="7" t="n"/>
    </row>
    <row r="37">
      <c r="B37" s="8" t="n">
        <v>27</v>
      </c>
      <c r="C37" s="8" t="inlineStr">
        <is>
          <t xml:space="preserve">1/10 foreman 1 helper, 1 operator </t>
        </is>
      </c>
      <c r="D37" s="8" t="inlineStr">
        <is>
          <t>Hoe</t>
        </is>
      </c>
      <c r="E37" s="8" t="inlineStr">
        <is>
          <t>01 rock excavation using hydraulic excavator</t>
        </is>
      </c>
      <c r="F37" s="8" t="n"/>
      <c r="G37" s="8" t="inlineStr">
        <is>
          <t>rock</t>
        </is>
      </c>
      <c r="H37" s="8" t="n">
        <v>0.98</v>
      </c>
      <c r="I37" s="8" t="n">
        <v>0.98</v>
      </c>
      <c r="J37" s="8" t="n">
        <v>0.63</v>
      </c>
      <c r="K37" s="8" t="n">
        <v>60</v>
      </c>
      <c r="L37" s="8" t="n"/>
      <c r="M37" s="8" t="n">
        <v>1</v>
      </c>
      <c r="N37" s="8" t="n">
        <v>17</v>
      </c>
      <c r="O37" s="8">
        <f>3600*M37*H37*I37*K37/(J37*N37*60)</f>
        <v/>
      </c>
      <c r="P37" s="8" t="n"/>
      <c r="Q37" s="8" t="n"/>
      <c r="R37" s="8" t="n"/>
      <c r="S37" s="8" t="n"/>
    </row>
    <row r="38">
      <c r="B38" s="8" t="n">
        <v>28</v>
      </c>
      <c r="C38" s="8" t="inlineStr">
        <is>
          <t xml:space="preserve">1/10 foreman 1 helper, 1 operator </t>
        </is>
      </c>
      <c r="D38" s="8" t="inlineStr">
        <is>
          <t>Hoe</t>
        </is>
      </c>
      <c r="E38" s="8" t="inlineStr">
        <is>
          <t>01 rock excavation using hydraulic excavator</t>
        </is>
      </c>
      <c r="F38" s="8" t="n"/>
      <c r="G38" s="8" t="inlineStr">
        <is>
          <t>rock</t>
        </is>
      </c>
      <c r="H38" s="8" t="n">
        <v>0.98</v>
      </c>
      <c r="I38" s="8" t="n">
        <v>0.98</v>
      </c>
      <c r="J38" s="8" t="n">
        <v>0.63</v>
      </c>
      <c r="K38" s="8" t="n">
        <v>60</v>
      </c>
      <c r="L38" s="8" t="n"/>
      <c r="M38" s="8" t="n">
        <v>1</v>
      </c>
      <c r="N38" s="8" t="n">
        <v>218</v>
      </c>
      <c r="O38" s="8">
        <f>3600*M38*H38*I38*K38/(J38*N38*60)</f>
        <v/>
      </c>
      <c r="P38" s="8" t="n"/>
      <c r="Q38" s="8" t="n"/>
      <c r="R38" s="8" t="n"/>
      <c r="S38" s="8" t="n"/>
    </row>
    <row r="39">
      <c r="B39" s="8" t="n">
        <v>29</v>
      </c>
      <c r="C39" s="8" t="inlineStr">
        <is>
          <t xml:space="preserve">1/10 foreman 1 helper, 1 operator </t>
        </is>
      </c>
      <c r="D39" s="8" t="inlineStr">
        <is>
          <t>Hoe</t>
        </is>
      </c>
      <c r="E39" s="8" t="inlineStr">
        <is>
          <t>01 rock excavation using hydraulic excavator</t>
        </is>
      </c>
      <c r="F39" s="8" t="n"/>
      <c r="G39" s="8" t="inlineStr">
        <is>
          <t>rock</t>
        </is>
      </c>
      <c r="H39" s="8" t="n">
        <v>0.98</v>
      </c>
      <c r="I39" s="8" t="n">
        <v>0.98</v>
      </c>
      <c r="J39" s="8" t="n">
        <v>0.63</v>
      </c>
      <c r="K39" s="8" t="n">
        <v>60</v>
      </c>
      <c r="L39" s="8" t="n"/>
      <c r="M39" s="8" t="n">
        <v>1</v>
      </c>
      <c r="N39" s="8" t="n">
        <v>20</v>
      </c>
      <c r="O39" s="8">
        <f>3600*M39*H39*I39*K39/(J39*N39*60)</f>
        <v/>
      </c>
      <c r="P39" s="8" t="n"/>
      <c r="Q39" s="8" t="n"/>
      <c r="R39" s="8" t="n"/>
      <c r="S39" s="8" t="n"/>
    </row>
    <row r="40" ht="16.5" customHeight="1" thickBot="1">
      <c r="B40" s="9" t="n">
        <v>30</v>
      </c>
      <c r="C40" s="9" t="inlineStr">
        <is>
          <t xml:space="preserve">1/10 foreman 1 helper, 1 operator </t>
        </is>
      </c>
      <c r="D40" s="9" t="inlineStr">
        <is>
          <t>Hoe</t>
        </is>
      </c>
      <c r="E40" s="9" t="inlineStr">
        <is>
          <t>01 rock excavation using hydraulic excavator</t>
        </is>
      </c>
      <c r="F40" s="9" t="n"/>
      <c r="G40" s="9" t="inlineStr">
        <is>
          <t>rock</t>
        </is>
      </c>
      <c r="H40" s="9" t="n">
        <v>0.98</v>
      </c>
      <c r="I40" s="9" t="n">
        <v>0.98</v>
      </c>
      <c r="J40" s="9" t="n">
        <v>0.63</v>
      </c>
      <c r="K40" s="9" t="n">
        <v>60</v>
      </c>
      <c r="L40" s="9" t="n"/>
      <c r="M40" s="9" t="n">
        <v>1</v>
      </c>
      <c r="N40" s="9" t="n">
        <v>24</v>
      </c>
      <c r="O40" s="9">
        <f>3600*M40*H40*I40*K40/(J40*N40*60)</f>
        <v/>
      </c>
      <c r="P40" s="9" t="n"/>
      <c r="Q40" s="9" t="n"/>
      <c r="R40" s="9" t="n"/>
      <c r="S40" s="9" t="n"/>
    </row>
    <row r="41">
      <c r="B41" s="7" t="n">
        <v>31</v>
      </c>
      <c r="C41" s="7" t="inlineStr">
        <is>
          <t xml:space="preserve">1/10 foreman 1 helper, 1 operator </t>
        </is>
      </c>
      <c r="D41" s="7" t="inlineStr">
        <is>
          <t>Hoe</t>
        </is>
      </c>
      <c r="E41" s="7" t="inlineStr">
        <is>
          <t>01 rock excavation using hydraulic excavator</t>
        </is>
      </c>
      <c r="F41" s="7" t="n"/>
      <c r="G41" s="7" t="inlineStr">
        <is>
          <t>rock</t>
        </is>
      </c>
      <c r="H41" s="7" t="n">
        <v>0.98</v>
      </c>
      <c r="I41" s="7" t="n">
        <v>0.98</v>
      </c>
      <c r="J41" s="7" t="n">
        <v>0.63</v>
      </c>
      <c r="K41" s="7" t="n">
        <v>60</v>
      </c>
      <c r="L41" s="7" t="n"/>
      <c r="M41" s="7" t="n">
        <v>1</v>
      </c>
      <c r="N41" s="7" t="n">
        <v>19</v>
      </c>
      <c r="O41" s="7">
        <f>3600*M41*H41*I41*K41/(J41*N41*60)</f>
        <v/>
      </c>
      <c r="P41" s="7" t="n"/>
      <c r="Q41" s="7" t="n"/>
      <c r="R41" s="7" t="n"/>
      <c r="S41" s="7" t="n"/>
    </row>
    <row r="42">
      <c r="B42" s="8" t="n">
        <v>32</v>
      </c>
      <c r="C42" s="8" t="inlineStr">
        <is>
          <t xml:space="preserve">1/10 foreman 1 helper, 1 operator </t>
        </is>
      </c>
      <c r="D42" s="8" t="inlineStr">
        <is>
          <t>Hoe</t>
        </is>
      </c>
      <c r="E42" s="8" t="inlineStr">
        <is>
          <t>01 rock excavation using hydraulic excavator</t>
        </is>
      </c>
      <c r="F42" s="8" t="n"/>
      <c r="G42" s="8" t="inlineStr">
        <is>
          <t>rock</t>
        </is>
      </c>
      <c r="H42" s="8" t="n">
        <v>0.98</v>
      </c>
      <c r="I42" s="8" t="n">
        <v>0.98</v>
      </c>
      <c r="J42" s="8" t="n">
        <v>0.63</v>
      </c>
      <c r="K42" s="8" t="n">
        <v>60</v>
      </c>
      <c r="L42" s="8" t="n"/>
      <c r="M42" s="8" t="n">
        <v>1</v>
      </c>
      <c r="N42" s="8" t="n">
        <v>29</v>
      </c>
      <c r="O42" s="8">
        <f>3600*M42*H42*I42*K42/(J42*N42*60)</f>
        <v/>
      </c>
      <c r="P42" s="8" t="n"/>
      <c r="Q42" s="8" t="n"/>
      <c r="R42" s="8" t="n"/>
      <c r="S42" s="8" t="n"/>
    </row>
    <row r="43">
      <c r="B43" s="8" t="n">
        <v>33</v>
      </c>
      <c r="C43" s="8" t="inlineStr">
        <is>
          <t xml:space="preserve">1/10 foreman 1 helper, 1 operator </t>
        </is>
      </c>
      <c r="D43" s="8" t="inlineStr">
        <is>
          <t>Hoe</t>
        </is>
      </c>
      <c r="E43" s="8" t="inlineStr">
        <is>
          <t>01 rock excavation using hydraulic excavator</t>
        </is>
      </c>
      <c r="F43" s="8" t="n"/>
      <c r="G43" s="8" t="inlineStr">
        <is>
          <t>rock</t>
        </is>
      </c>
      <c r="H43" s="8" t="n">
        <v>0.98</v>
      </c>
      <c r="I43" s="8" t="n">
        <v>0.98</v>
      </c>
      <c r="J43" s="8" t="n">
        <v>0.63</v>
      </c>
      <c r="K43" s="8" t="n">
        <v>60</v>
      </c>
      <c r="L43" s="8" t="n"/>
      <c r="M43" s="8" t="n">
        <v>1</v>
      </c>
      <c r="N43" s="8" t="n">
        <v>18</v>
      </c>
      <c r="O43" s="8">
        <f>3600*M43*H43*I43*K43/(J43*N43*60)</f>
        <v/>
      </c>
      <c r="P43" s="8" t="n"/>
      <c r="Q43" s="8" t="n"/>
      <c r="R43" s="8" t="n"/>
      <c r="S43" s="8" t="n"/>
    </row>
    <row r="44">
      <c r="B44" s="8" t="n">
        <v>34</v>
      </c>
      <c r="C44" s="8" t="inlineStr">
        <is>
          <t xml:space="preserve">1/10 foreman 1 helper, 1 operator </t>
        </is>
      </c>
      <c r="D44" s="8" t="inlineStr">
        <is>
          <t>Hoe</t>
        </is>
      </c>
      <c r="E44" s="8" t="inlineStr">
        <is>
          <t>01 rock excavation using hydraulic excavator</t>
        </is>
      </c>
      <c r="F44" s="8" t="n"/>
      <c r="G44" s="8" t="inlineStr">
        <is>
          <t>rock</t>
        </is>
      </c>
      <c r="H44" s="8" t="n">
        <v>0.98</v>
      </c>
      <c r="I44" s="8" t="n">
        <v>0.98</v>
      </c>
      <c r="J44" s="8" t="n">
        <v>0.63</v>
      </c>
      <c r="K44" s="8" t="n">
        <v>60</v>
      </c>
      <c r="L44" s="8" t="n"/>
      <c r="M44" s="8" t="n">
        <v>1</v>
      </c>
      <c r="N44" s="8" t="n">
        <v>20</v>
      </c>
      <c r="O44" s="8">
        <f>3600*M44*H44*I44*K44/(J44*N44*60)</f>
        <v/>
      </c>
      <c r="P44" s="8" t="n"/>
      <c r="Q44" s="8" t="n"/>
      <c r="R44" s="8" t="n"/>
      <c r="S44" s="8" t="n"/>
    </row>
    <row r="45" ht="16.5" customHeight="1" thickBot="1">
      <c r="B45" s="9" t="n">
        <v>35</v>
      </c>
      <c r="C45" s="9" t="inlineStr">
        <is>
          <t xml:space="preserve">1/10 foreman 1 helper, 1 operator </t>
        </is>
      </c>
      <c r="D45" s="9" t="inlineStr">
        <is>
          <t>Hoe</t>
        </is>
      </c>
      <c r="E45" s="9" t="inlineStr">
        <is>
          <t>01 rock excavation using hydraulic excavator</t>
        </is>
      </c>
      <c r="F45" s="9" t="n"/>
      <c r="G45" s="9" t="inlineStr">
        <is>
          <t>rock</t>
        </is>
      </c>
      <c r="H45" s="9" t="n">
        <v>0.98</v>
      </c>
      <c r="I45" s="9" t="n">
        <v>0.98</v>
      </c>
      <c r="J45" s="9" t="n">
        <v>0.63</v>
      </c>
      <c r="K45" s="9" t="n">
        <v>60</v>
      </c>
      <c r="L45" s="9" t="n"/>
      <c r="M45" s="9" t="n">
        <v>1</v>
      </c>
      <c r="N45" s="9" t="n">
        <v>21</v>
      </c>
      <c r="O45" s="9">
        <f>3600*M45*H45*I45*K45/(J45*N45*60)</f>
        <v/>
      </c>
      <c r="P45" s="9" t="n"/>
      <c r="Q45" s="9" t="n"/>
      <c r="R45" s="9" t="n"/>
      <c r="S45" s="9" t="n"/>
    </row>
    <row r="46">
      <c r="B46" s="7" t="n">
        <v>36</v>
      </c>
      <c r="C46" s="7" t="inlineStr">
        <is>
          <t xml:space="preserve">1/10 foreman 1 helper, 1 operator </t>
        </is>
      </c>
      <c r="D46" s="7" t="inlineStr">
        <is>
          <t>Hoe</t>
        </is>
      </c>
      <c r="E46" s="7" t="inlineStr">
        <is>
          <t>01 rock excavation using hydraulic excavator</t>
        </is>
      </c>
      <c r="F46" s="7" t="n"/>
      <c r="G46" s="7" t="inlineStr">
        <is>
          <t>rock</t>
        </is>
      </c>
      <c r="H46" s="7" t="n">
        <v>0.98</v>
      </c>
      <c r="I46" s="7" t="n">
        <v>0.98</v>
      </c>
      <c r="J46" s="7" t="n">
        <v>0.63</v>
      </c>
      <c r="K46" s="7" t="n">
        <v>60</v>
      </c>
      <c r="L46" s="7" t="n"/>
      <c r="M46" s="7" t="n">
        <v>1</v>
      </c>
      <c r="N46" s="7" t="n">
        <v>24</v>
      </c>
      <c r="O46" s="7">
        <f>3600*M46*H46*I46*K46/(J46*N46*60)</f>
        <v/>
      </c>
      <c r="P46" s="7" t="n"/>
      <c r="Q46" s="7" t="n"/>
      <c r="R46" s="7" t="n"/>
      <c r="S46" s="7" t="n"/>
    </row>
    <row r="47">
      <c r="B47" s="8" t="n">
        <v>37</v>
      </c>
      <c r="C47" s="8" t="inlineStr">
        <is>
          <t xml:space="preserve">1/10 foreman 1 helper, 1 operator </t>
        </is>
      </c>
      <c r="D47" s="8" t="inlineStr">
        <is>
          <t>Hoe</t>
        </is>
      </c>
      <c r="E47" s="8" t="inlineStr">
        <is>
          <t>01 rock excavation using hydraulic excavator</t>
        </is>
      </c>
      <c r="F47" s="8" t="n"/>
      <c r="G47" s="8" t="inlineStr">
        <is>
          <t>rock</t>
        </is>
      </c>
      <c r="H47" s="8" t="n">
        <v>0.98</v>
      </c>
      <c r="I47" s="8" t="n">
        <v>0.86</v>
      </c>
      <c r="J47" s="8" t="n">
        <v>0.63</v>
      </c>
      <c r="K47" s="8" t="n">
        <v>60</v>
      </c>
      <c r="L47" s="8" t="n"/>
      <c r="M47" s="8" t="n">
        <v>1</v>
      </c>
      <c r="N47" s="8" t="n">
        <v>24</v>
      </c>
      <c r="O47" s="8">
        <f>3600*M47*H47*I47*K47/(J47*N47*60)</f>
        <v/>
      </c>
      <c r="P47" s="8" t="n"/>
      <c r="Q47" s="8" t="n"/>
      <c r="R47" s="8" t="n"/>
      <c r="S47" s="8" t="n"/>
    </row>
    <row r="48">
      <c r="B48" s="8" t="n">
        <v>38</v>
      </c>
      <c r="C48" s="8" t="inlineStr">
        <is>
          <t xml:space="preserve">1/10 foreman 1 helper, 1 operator </t>
        </is>
      </c>
      <c r="D48" s="8" t="inlineStr">
        <is>
          <t>Hoe</t>
        </is>
      </c>
      <c r="E48" s="8" t="inlineStr">
        <is>
          <t>01 rock excavation using hydraulic excavator</t>
        </is>
      </c>
      <c r="F48" s="8" t="n"/>
      <c r="G48" s="8" t="inlineStr">
        <is>
          <t>rock</t>
        </is>
      </c>
      <c r="H48" s="8" t="n">
        <v>0.98</v>
      </c>
      <c r="I48" s="8" t="n">
        <v>0.86</v>
      </c>
      <c r="J48" s="8" t="n">
        <v>0.63</v>
      </c>
      <c r="K48" s="8" t="n">
        <v>60</v>
      </c>
      <c r="L48" s="8" t="n"/>
      <c r="M48" s="8" t="n">
        <v>1</v>
      </c>
      <c r="N48" s="8" t="n">
        <v>29</v>
      </c>
      <c r="O48" s="8">
        <f>3600*M48*H48*I48*K48/(J48*N48*60)</f>
        <v/>
      </c>
      <c r="P48" s="8" t="n"/>
      <c r="Q48" s="8" t="n"/>
      <c r="R48" s="8" t="n"/>
      <c r="S48" s="8" t="n"/>
    </row>
    <row r="49">
      <c r="B49" s="8" t="n">
        <v>39</v>
      </c>
      <c r="C49" s="8" t="inlineStr">
        <is>
          <t xml:space="preserve">1/10 foreman 1 helper, 1 operator </t>
        </is>
      </c>
      <c r="D49" s="8" t="inlineStr">
        <is>
          <t>Hoe</t>
        </is>
      </c>
      <c r="E49" s="8" t="inlineStr">
        <is>
          <t>01 rock excavation using hydraulic excavator</t>
        </is>
      </c>
      <c r="F49" s="8" t="n"/>
      <c r="G49" s="8" t="inlineStr">
        <is>
          <t>rock</t>
        </is>
      </c>
      <c r="H49" s="8" t="n">
        <v>0.98</v>
      </c>
      <c r="I49" s="8" t="n">
        <v>0.86</v>
      </c>
      <c r="J49" s="8" t="n">
        <v>0.63</v>
      </c>
      <c r="K49" s="8" t="n">
        <v>60</v>
      </c>
      <c r="L49" s="8" t="n"/>
      <c r="M49" s="8" t="n">
        <v>1</v>
      </c>
      <c r="N49" s="8" t="n">
        <v>27</v>
      </c>
      <c r="O49" s="8">
        <f>3600*M49*H49*I49*K49/(J49*N49*60)</f>
        <v/>
      </c>
      <c r="P49" s="8" t="n"/>
      <c r="Q49" s="8" t="n"/>
      <c r="R49" s="8" t="n"/>
      <c r="S49" s="8" t="n"/>
    </row>
    <row r="50" ht="16.5" customHeight="1" thickBot="1">
      <c r="B50" s="9" t="n">
        <v>40</v>
      </c>
      <c r="C50" s="9" t="inlineStr">
        <is>
          <t xml:space="preserve">1/10 foreman 1 helper, 1 operator </t>
        </is>
      </c>
      <c r="D50" s="9" t="inlineStr">
        <is>
          <t>Hoe</t>
        </is>
      </c>
      <c r="E50" s="9" t="inlineStr">
        <is>
          <t>01 rock excavation using hydraulic excavator</t>
        </is>
      </c>
      <c r="F50" s="9" t="n"/>
      <c r="G50" s="9" t="inlineStr">
        <is>
          <t>rock</t>
        </is>
      </c>
      <c r="H50" s="9" t="n">
        <v>0.98</v>
      </c>
      <c r="I50" s="9" t="n">
        <v>0.98</v>
      </c>
      <c r="J50" s="9" t="n">
        <v>0.63</v>
      </c>
      <c r="K50" s="9" t="n">
        <v>60</v>
      </c>
      <c r="L50" s="9" t="n"/>
      <c r="M50" s="9" t="n">
        <v>1</v>
      </c>
      <c r="N50" s="9" t="n">
        <v>18</v>
      </c>
      <c r="O50" s="9">
        <f>3600*M50*H50*I50*K50/(J50*N50*60)</f>
        <v/>
      </c>
      <c r="P50" s="9" t="n"/>
      <c r="Q50" s="9" t="n"/>
      <c r="R50" s="9" t="n"/>
      <c r="S50" s="9" t="n"/>
    </row>
    <row r="51">
      <c r="B51" s="7" t="n">
        <v>41</v>
      </c>
      <c r="C51" s="7" t="inlineStr">
        <is>
          <t xml:space="preserve">1/10 foreman 1 helper, 1 operator </t>
        </is>
      </c>
      <c r="D51" s="7" t="inlineStr">
        <is>
          <t>Hoe</t>
        </is>
      </c>
      <c r="E51" s="7" t="inlineStr">
        <is>
          <t>01 rock excavation using hydraulic excavator</t>
        </is>
      </c>
      <c r="F51" s="7" t="n"/>
      <c r="G51" s="7" t="inlineStr">
        <is>
          <t>rock</t>
        </is>
      </c>
      <c r="H51" s="7" t="n">
        <v>0.98</v>
      </c>
      <c r="I51" s="7" t="n">
        <v>0.98</v>
      </c>
      <c r="J51" s="7" t="n">
        <v>0.63</v>
      </c>
      <c r="K51" s="7" t="n">
        <v>60</v>
      </c>
      <c r="L51" s="7" t="n"/>
      <c r="M51" s="7" t="n">
        <v>1</v>
      </c>
      <c r="N51" s="7" t="n">
        <v>19</v>
      </c>
      <c r="O51" s="7">
        <f>3600*M51*H51*I51*K51/(J51*N51*60)</f>
        <v/>
      </c>
      <c r="P51" s="7" t="n"/>
      <c r="Q51" s="7" t="n"/>
      <c r="R51" s="7" t="n"/>
      <c r="S51" s="7" t="n"/>
    </row>
    <row r="52">
      <c r="B52" s="8" t="n">
        <v>42</v>
      </c>
      <c r="C52" s="8" t="inlineStr">
        <is>
          <t xml:space="preserve">1/10 foreman 1 helper, 1 operator </t>
        </is>
      </c>
      <c r="D52" s="8" t="inlineStr">
        <is>
          <t>Hoe</t>
        </is>
      </c>
      <c r="E52" s="8" t="inlineStr">
        <is>
          <t>01 rock excavation using hydraulic excavator</t>
        </is>
      </c>
      <c r="F52" s="8" t="n"/>
      <c r="G52" s="8" t="inlineStr">
        <is>
          <t>rock</t>
        </is>
      </c>
      <c r="H52" s="8" t="n">
        <v>0.98</v>
      </c>
      <c r="I52" s="8" t="n">
        <v>0.86</v>
      </c>
      <c r="J52" s="8" t="n">
        <v>0.63</v>
      </c>
      <c r="K52" s="8" t="n">
        <v>60</v>
      </c>
      <c r="L52" s="8" t="n"/>
      <c r="M52" s="8" t="n">
        <v>1</v>
      </c>
      <c r="N52" s="8" t="n">
        <v>22</v>
      </c>
      <c r="O52" s="8">
        <f>3600*M52*H52*I52*K52/(J52*N52*60)</f>
        <v/>
      </c>
      <c r="P52" s="8" t="n"/>
      <c r="Q52" s="8" t="n"/>
      <c r="R52" s="8" t="n"/>
      <c r="S52" s="8" t="n"/>
    </row>
    <row r="53">
      <c r="B53" s="8" t="n">
        <v>43</v>
      </c>
      <c r="C53" s="8" t="inlineStr">
        <is>
          <t xml:space="preserve">1/10 foreman 1 helper, 1 operator </t>
        </is>
      </c>
      <c r="D53" s="8" t="inlineStr">
        <is>
          <t>Hoe</t>
        </is>
      </c>
      <c r="E53" s="8" t="inlineStr">
        <is>
          <t>01 rock excavation using hydraulic excavator</t>
        </is>
      </c>
      <c r="F53" s="8" t="n"/>
      <c r="G53" s="8" t="inlineStr">
        <is>
          <t>rock</t>
        </is>
      </c>
      <c r="H53" s="8" t="n">
        <v>0.98</v>
      </c>
      <c r="I53" s="8" t="n">
        <v>0.86</v>
      </c>
      <c r="J53" s="8" t="n">
        <v>0.63</v>
      </c>
      <c r="K53" s="8" t="n">
        <v>60</v>
      </c>
      <c r="L53" s="8" t="n"/>
      <c r="M53" s="8" t="n">
        <v>1</v>
      </c>
      <c r="N53" s="8" t="n">
        <v>34</v>
      </c>
      <c r="O53" s="8">
        <f>3600*M53*H53*I53*K53/(J53*N53*60)</f>
        <v/>
      </c>
      <c r="P53" s="8" t="n"/>
      <c r="Q53" s="8" t="n"/>
      <c r="R53" s="8" t="n"/>
      <c r="S53" s="8" t="n"/>
    </row>
    <row r="54">
      <c r="B54" s="8" t="n">
        <v>44</v>
      </c>
      <c r="C54" s="8" t="inlineStr">
        <is>
          <t xml:space="preserve">1/10 foreman 1 helper, 1 operator </t>
        </is>
      </c>
      <c r="D54" s="8" t="inlineStr">
        <is>
          <t>Hoe</t>
        </is>
      </c>
      <c r="E54" s="8" t="inlineStr">
        <is>
          <t>01 rock excavation using hydraulic excavator</t>
        </is>
      </c>
      <c r="F54" s="8" t="n"/>
      <c r="G54" s="8" t="inlineStr">
        <is>
          <t>rock</t>
        </is>
      </c>
      <c r="H54" s="8" t="n">
        <v>0.98</v>
      </c>
      <c r="I54" s="8" t="n">
        <v>0.86</v>
      </c>
      <c r="J54" s="8" t="n">
        <v>0.63</v>
      </c>
      <c r="K54" s="8" t="n">
        <v>60</v>
      </c>
      <c r="L54" s="8" t="n"/>
      <c r="M54" s="8" t="n">
        <v>1</v>
      </c>
      <c r="N54" s="8" t="n">
        <v>23</v>
      </c>
      <c r="O54" s="8">
        <f>3600*M54*H54*I54*K54/(J54*N54*60)</f>
        <v/>
      </c>
      <c r="P54" s="8" t="n"/>
      <c r="Q54" s="8" t="n"/>
      <c r="R54" s="8" t="n"/>
      <c r="S54" s="8" t="n"/>
    </row>
    <row r="55" ht="16.5" customHeight="1" thickBot="1">
      <c r="B55" s="9" t="n">
        <v>45</v>
      </c>
      <c r="C55" s="9" t="inlineStr">
        <is>
          <t xml:space="preserve">1/10 foreman 1 helper, 1 operator </t>
        </is>
      </c>
      <c r="D55" s="9" t="inlineStr">
        <is>
          <t>Hoe</t>
        </is>
      </c>
      <c r="E55" s="9" t="inlineStr">
        <is>
          <t>01 rock excavation using hydraulic excavator</t>
        </is>
      </c>
      <c r="F55" s="9" t="n"/>
      <c r="G55" s="9" t="inlineStr">
        <is>
          <t>rock</t>
        </is>
      </c>
      <c r="H55" s="9" t="n">
        <v>0.98</v>
      </c>
      <c r="I55" s="9" t="n">
        <v>0.86</v>
      </c>
      <c r="J55" s="9" t="n">
        <v>0.63</v>
      </c>
      <c r="K55" s="9" t="n">
        <v>60</v>
      </c>
      <c r="L55" s="9" t="n"/>
      <c r="M55" s="9" t="n">
        <v>1</v>
      </c>
      <c r="N55" s="9" t="n">
        <v>29</v>
      </c>
      <c r="O55" s="9">
        <f>3600*M55*H55*I55*K55/(J55*N55*60)</f>
        <v/>
      </c>
      <c r="P55" s="9" t="n"/>
      <c r="Q55" s="9" t="n"/>
      <c r="R55" s="9" t="n"/>
      <c r="S55" s="9" t="n"/>
    </row>
    <row r="56">
      <c r="B56" s="7" t="n">
        <v>46</v>
      </c>
      <c r="C56" s="7" t="inlineStr">
        <is>
          <t xml:space="preserve">1/10 foreman 1 helper, 1 operator </t>
        </is>
      </c>
      <c r="D56" s="7" t="inlineStr">
        <is>
          <t>Hoe</t>
        </is>
      </c>
      <c r="E56" s="7" t="inlineStr">
        <is>
          <t>01 rock excavation using hydraulic excavator</t>
        </is>
      </c>
      <c r="F56" s="7" t="n"/>
      <c r="G56" s="7" t="inlineStr">
        <is>
          <t>rock</t>
        </is>
      </c>
      <c r="H56" s="7" t="n">
        <v>0.98</v>
      </c>
      <c r="I56" s="7" t="n">
        <v>0.98</v>
      </c>
      <c r="J56" s="7" t="n">
        <v>0.63</v>
      </c>
      <c r="K56" s="7" t="n">
        <v>60</v>
      </c>
      <c r="L56" s="7" t="n"/>
      <c r="M56" s="7" t="n">
        <v>1</v>
      </c>
      <c r="N56" s="7" t="n">
        <v>74</v>
      </c>
      <c r="O56" s="7">
        <f>3600*M56*H56*I56*K56/(J56*N56*60)</f>
        <v/>
      </c>
      <c r="P56" s="7" t="n"/>
      <c r="Q56" s="7" t="n"/>
      <c r="R56" s="7" t="n"/>
      <c r="S56" s="7" t="n"/>
    </row>
    <row r="57">
      <c r="B57" s="8" t="n">
        <v>47</v>
      </c>
      <c r="C57" s="8" t="inlineStr">
        <is>
          <t xml:space="preserve">1/10 foreman 1 helper, 1 operator </t>
        </is>
      </c>
      <c r="D57" s="8" t="inlineStr">
        <is>
          <t>Hoe</t>
        </is>
      </c>
      <c r="E57" s="8" t="inlineStr">
        <is>
          <t>01 rock excavation using hydraulic excavator</t>
        </is>
      </c>
      <c r="F57" s="8" t="n"/>
      <c r="G57" s="8" t="inlineStr">
        <is>
          <t>rock</t>
        </is>
      </c>
      <c r="H57" s="8" t="n">
        <v>0.98</v>
      </c>
      <c r="I57" s="8" t="n">
        <v>0.98</v>
      </c>
      <c r="J57" s="8" t="n">
        <v>0.63</v>
      </c>
      <c r="K57" s="8" t="n">
        <v>60</v>
      </c>
      <c r="L57" s="8" t="n"/>
      <c r="M57" s="8" t="n">
        <v>1</v>
      </c>
      <c r="N57" s="8" t="n">
        <v>16</v>
      </c>
      <c r="O57" s="8">
        <f>3600*M57*H57*I57*K57/(J57*N57*60)</f>
        <v/>
      </c>
      <c r="P57" s="8" t="n"/>
      <c r="Q57" s="8" t="n"/>
      <c r="R57" s="8" t="n"/>
      <c r="S57" s="8" t="n"/>
    </row>
    <row r="58">
      <c r="B58" s="8" t="n">
        <v>48</v>
      </c>
      <c r="C58" s="8" t="inlineStr">
        <is>
          <t xml:space="preserve">1/10 foreman 1 helper, 1 operator </t>
        </is>
      </c>
      <c r="D58" s="8" t="inlineStr">
        <is>
          <t>Hoe</t>
        </is>
      </c>
      <c r="E58" s="8" t="inlineStr">
        <is>
          <t>01 rock excavation using hydraulic excavator</t>
        </is>
      </c>
      <c r="F58" s="8" t="n"/>
      <c r="G58" s="8" t="inlineStr">
        <is>
          <t>rock</t>
        </is>
      </c>
      <c r="H58" s="8" t="n">
        <v>0.98</v>
      </c>
      <c r="I58" s="8" t="n">
        <v>0.98</v>
      </c>
      <c r="J58" s="8" t="n">
        <v>0.63</v>
      </c>
      <c r="K58" s="8" t="n">
        <v>60</v>
      </c>
      <c r="L58" s="8" t="n"/>
      <c r="M58" s="8" t="n">
        <v>1</v>
      </c>
      <c r="N58" s="8" t="n">
        <v>16</v>
      </c>
      <c r="O58" s="8">
        <f>3600*M58*H58*I58*K58/(J58*N58*60)</f>
        <v/>
      </c>
      <c r="P58" s="8" t="n"/>
      <c r="Q58" s="8" t="n"/>
      <c r="R58" s="8" t="n"/>
      <c r="S58" s="8" t="n"/>
    </row>
    <row r="59">
      <c r="B59" s="8" t="n">
        <v>49</v>
      </c>
      <c r="C59" s="8" t="inlineStr">
        <is>
          <t xml:space="preserve">1/10 foreman 1 helper, 1 operator </t>
        </is>
      </c>
      <c r="D59" s="8" t="inlineStr">
        <is>
          <t>Hoe</t>
        </is>
      </c>
      <c r="E59" s="8" t="inlineStr">
        <is>
          <t>01 rock excavation using hydraulic excavator</t>
        </is>
      </c>
      <c r="F59" s="8" t="n"/>
      <c r="G59" s="8" t="inlineStr">
        <is>
          <t>rock</t>
        </is>
      </c>
      <c r="H59" s="8" t="n">
        <v>0.98</v>
      </c>
      <c r="I59" s="8" t="n">
        <v>0.98</v>
      </c>
      <c r="J59" s="8" t="n">
        <v>0.63</v>
      </c>
      <c r="K59" s="8" t="n">
        <v>60</v>
      </c>
      <c r="L59" s="8" t="n"/>
      <c r="M59" s="8" t="n">
        <v>1</v>
      </c>
      <c r="N59" s="8" t="n">
        <v>19</v>
      </c>
      <c r="O59" s="8">
        <f>3600*M59*H59*I59*K59/(J59*N59*60)</f>
        <v/>
      </c>
      <c r="P59" s="8" t="n"/>
      <c r="Q59" s="8" t="n"/>
      <c r="R59" s="8" t="n"/>
      <c r="S59" s="8" t="n"/>
    </row>
    <row r="60" ht="16.5" customHeight="1" thickBot="1">
      <c r="B60" s="9" t="n">
        <v>50</v>
      </c>
      <c r="C60" s="9" t="inlineStr">
        <is>
          <t xml:space="preserve">1/10 foreman 1 helper, 1 operator </t>
        </is>
      </c>
      <c r="D60" s="9" t="inlineStr">
        <is>
          <t>Hoe</t>
        </is>
      </c>
      <c r="E60" s="9" t="inlineStr">
        <is>
          <t>01 rock excavation using hydraulic excavator</t>
        </is>
      </c>
      <c r="F60" s="9" t="n"/>
      <c r="G60" s="9" t="inlineStr">
        <is>
          <t>rock</t>
        </is>
      </c>
      <c r="H60" s="9" t="n">
        <v>0.98</v>
      </c>
      <c r="I60" s="9" t="n">
        <v>0.98</v>
      </c>
      <c r="J60" s="9" t="n">
        <v>0.63</v>
      </c>
      <c r="K60" s="9" t="n">
        <v>60</v>
      </c>
      <c r="L60" s="9" t="n"/>
      <c r="M60" s="9" t="n">
        <v>1</v>
      </c>
      <c r="N60" s="9" t="n">
        <v>22</v>
      </c>
      <c r="O60" s="9">
        <f>3600*M60*H60*I60*K60/(J60*N60*60)</f>
        <v/>
      </c>
      <c r="P60" s="9" t="n"/>
      <c r="Q60" s="9" t="n"/>
      <c r="R60" s="9" t="n"/>
      <c r="S60" s="9" t="n"/>
    </row>
    <row r="61">
      <c r="B61" s="7" t="n">
        <v>51</v>
      </c>
      <c r="C61" s="7" t="inlineStr">
        <is>
          <t xml:space="preserve">1/10 foreman 1 helper, 1 operator </t>
        </is>
      </c>
      <c r="D61" s="7" t="inlineStr">
        <is>
          <t>Hoe</t>
        </is>
      </c>
      <c r="E61" s="7" t="inlineStr">
        <is>
          <t>01 rock excavation using hydraulic excavator</t>
        </is>
      </c>
      <c r="F61" s="7" t="n"/>
      <c r="G61" s="7" t="inlineStr">
        <is>
          <t>rock</t>
        </is>
      </c>
      <c r="H61" s="7" t="n">
        <v>0.98</v>
      </c>
      <c r="I61" s="7" t="n">
        <v>0.98</v>
      </c>
      <c r="J61" s="7" t="n">
        <v>0.63</v>
      </c>
      <c r="K61" s="7" t="n">
        <v>60</v>
      </c>
      <c r="L61" s="7" t="n"/>
      <c r="M61" s="7" t="n">
        <v>1</v>
      </c>
      <c r="N61" s="7" t="n">
        <v>16</v>
      </c>
      <c r="O61" s="7">
        <f>3600*M61*H61*I61*K61/(J61*N61*60)</f>
        <v/>
      </c>
      <c r="P61" s="7" t="n"/>
      <c r="Q61" s="7" t="n"/>
      <c r="R61" s="7" t="n"/>
      <c r="S61" s="7" t="n"/>
    </row>
    <row r="62">
      <c r="B62" s="8" t="n">
        <v>52</v>
      </c>
      <c r="C62" s="8" t="inlineStr">
        <is>
          <t xml:space="preserve">1/10 foreman 1 helper, 1 operator </t>
        </is>
      </c>
      <c r="D62" s="8" t="inlineStr">
        <is>
          <t>Hoe</t>
        </is>
      </c>
      <c r="E62" s="8" t="inlineStr">
        <is>
          <t>01 rock excavation using hydraulic excavator</t>
        </is>
      </c>
      <c r="F62" s="8" t="n"/>
      <c r="G62" s="8" t="inlineStr">
        <is>
          <t>rock</t>
        </is>
      </c>
      <c r="H62" s="8" t="n">
        <v>0.98</v>
      </c>
      <c r="I62" s="8" t="n">
        <v>0.98</v>
      </c>
      <c r="J62" s="8" t="n">
        <v>0.63</v>
      </c>
      <c r="K62" s="8" t="n">
        <v>60</v>
      </c>
      <c r="L62" s="8" t="n"/>
      <c r="M62" s="8" t="n">
        <v>1</v>
      </c>
      <c r="N62" s="8" t="n">
        <v>17</v>
      </c>
      <c r="O62" s="8">
        <f>3600*M62*H62*I62*K62/(J62*N62*60)</f>
        <v/>
      </c>
      <c r="P62" s="8" t="n"/>
      <c r="Q62" s="8" t="n"/>
      <c r="R62" s="8" t="n"/>
      <c r="S62" s="8" t="n"/>
    </row>
    <row r="63">
      <c r="B63" s="8" t="n">
        <v>53</v>
      </c>
      <c r="C63" s="8" t="inlineStr">
        <is>
          <t xml:space="preserve">1/10 foreman 1 helper, 1 operator </t>
        </is>
      </c>
      <c r="D63" s="8" t="inlineStr">
        <is>
          <t>Hoe</t>
        </is>
      </c>
      <c r="E63" s="8" t="inlineStr">
        <is>
          <t>01 rock excavation using hydraulic excavator</t>
        </is>
      </c>
      <c r="F63" s="8" t="n"/>
      <c r="G63" s="8" t="inlineStr">
        <is>
          <t>rock</t>
        </is>
      </c>
      <c r="H63" s="8" t="n">
        <v>0.98</v>
      </c>
      <c r="I63" s="8" t="n">
        <v>0.98</v>
      </c>
      <c r="J63" s="8" t="n">
        <v>0.63</v>
      </c>
      <c r="K63" s="8" t="n">
        <v>60</v>
      </c>
      <c r="L63" s="8" t="n"/>
      <c r="M63" s="8" t="n">
        <v>1</v>
      </c>
      <c r="N63" s="8" t="n">
        <v>18</v>
      </c>
      <c r="O63" s="8">
        <f>3600*M63*H63*I63*K63/(J63*N63*60)</f>
        <v/>
      </c>
      <c r="P63" s="8" t="n"/>
      <c r="Q63" s="8" t="n"/>
      <c r="R63" s="8" t="n"/>
      <c r="S63" s="8" t="n"/>
    </row>
    <row r="64">
      <c r="B64" s="8" t="n">
        <v>54</v>
      </c>
      <c r="C64" s="8" t="inlineStr">
        <is>
          <t xml:space="preserve">1/10 foreman 1 helper, 1 operator </t>
        </is>
      </c>
      <c r="D64" s="8" t="inlineStr">
        <is>
          <t>Hoe</t>
        </is>
      </c>
      <c r="E64" s="8" t="inlineStr">
        <is>
          <t>01 rock excavation using hydraulic excavator</t>
        </is>
      </c>
      <c r="F64" s="8" t="n"/>
      <c r="G64" s="8" t="inlineStr">
        <is>
          <t>rock</t>
        </is>
      </c>
      <c r="H64" s="8" t="n">
        <v>0.98</v>
      </c>
      <c r="I64" s="8" t="n">
        <v>0.98</v>
      </c>
      <c r="J64" s="8" t="n">
        <v>0.63</v>
      </c>
      <c r="K64" s="8" t="n">
        <v>60</v>
      </c>
      <c r="L64" s="8" t="n"/>
      <c r="M64" s="8" t="n">
        <v>1</v>
      </c>
      <c r="N64" s="8" t="n">
        <v>24</v>
      </c>
      <c r="O64" s="8">
        <f>3600*M64*H64*I64*K64/(J64*N64*60)</f>
        <v/>
      </c>
      <c r="P64" s="8" t="n"/>
      <c r="Q64" s="8" t="n"/>
      <c r="R64" s="8" t="n"/>
      <c r="S64" s="8" t="n"/>
    </row>
    <row r="65" ht="16.5" customHeight="1" thickBot="1">
      <c r="B65" s="9" t="n">
        <v>55</v>
      </c>
      <c r="C65" s="9" t="inlineStr">
        <is>
          <t xml:space="preserve">1/10 foreman 1 helper, 1 operator </t>
        </is>
      </c>
      <c r="D65" s="9" t="inlineStr">
        <is>
          <t>Hoe</t>
        </is>
      </c>
      <c r="E65" s="9" t="inlineStr">
        <is>
          <t>01 rock excavation using hydraulic excavator</t>
        </is>
      </c>
      <c r="F65" s="9" t="n"/>
      <c r="G65" s="9" t="inlineStr">
        <is>
          <t>rock</t>
        </is>
      </c>
      <c r="H65" s="9" t="n">
        <v>0.98</v>
      </c>
      <c r="I65" s="9" t="n">
        <v>0.98</v>
      </c>
      <c r="J65" s="9" t="n">
        <v>0.63</v>
      </c>
      <c r="K65" s="9" t="n">
        <v>60</v>
      </c>
      <c r="L65" s="9" t="n"/>
      <c r="M65" s="9" t="n">
        <v>1</v>
      </c>
      <c r="N65" s="9" t="n">
        <v>26</v>
      </c>
      <c r="O65" s="9">
        <f>3600*M65*H65*I65*K65/(J65*N65*60)</f>
        <v/>
      </c>
      <c r="P65" s="9" t="n"/>
      <c r="Q65" s="9" t="n"/>
      <c r="R65" s="9" t="n"/>
      <c r="S65" s="9" t="n"/>
    </row>
    <row r="66">
      <c r="B66" s="7" t="n">
        <v>56</v>
      </c>
      <c r="C66" s="7" t="inlineStr">
        <is>
          <t xml:space="preserve">1/10 foreman 1 helper, 1 operator </t>
        </is>
      </c>
      <c r="D66" s="7" t="inlineStr">
        <is>
          <t>Hoe</t>
        </is>
      </c>
      <c r="E66" s="7" t="inlineStr">
        <is>
          <t>01 rock excavation using hydraulic excavator</t>
        </is>
      </c>
      <c r="F66" s="7" t="n"/>
      <c r="G66" s="7" t="inlineStr">
        <is>
          <t>rock</t>
        </is>
      </c>
      <c r="H66" s="7" t="n">
        <v>0.98</v>
      </c>
      <c r="I66" s="7" t="n">
        <v>0.98</v>
      </c>
      <c r="J66" s="7" t="n">
        <v>0.63</v>
      </c>
      <c r="K66" s="7" t="n">
        <v>60</v>
      </c>
      <c r="L66" s="7" t="n"/>
      <c r="M66" s="7" t="n">
        <v>1</v>
      </c>
      <c r="N66" s="7" t="n">
        <v>84</v>
      </c>
      <c r="O66" s="7">
        <f>3600*M66*H66*I66*K66/(J66*N66*60)</f>
        <v/>
      </c>
      <c r="P66" s="7" t="n"/>
      <c r="Q66" s="7" t="n"/>
      <c r="R66" s="7" t="n"/>
      <c r="S66" s="7" t="n"/>
    </row>
    <row r="67">
      <c r="B67" s="8" t="n">
        <v>57</v>
      </c>
      <c r="C67" s="8" t="inlineStr">
        <is>
          <t xml:space="preserve">1/10 foreman 1 helper, 1 operator </t>
        </is>
      </c>
      <c r="D67" s="8" t="inlineStr">
        <is>
          <t>Hoe</t>
        </is>
      </c>
      <c r="E67" s="8" t="inlineStr">
        <is>
          <t>01 rock excavation using hydraulic excavator</t>
        </is>
      </c>
      <c r="F67" s="8" t="n"/>
      <c r="G67" s="8" t="inlineStr">
        <is>
          <t>rock</t>
        </is>
      </c>
      <c r="H67" s="8" t="n">
        <v>0.98</v>
      </c>
      <c r="I67" s="8" t="n">
        <v>0.98</v>
      </c>
      <c r="J67" s="8" t="n">
        <v>0.63</v>
      </c>
      <c r="K67" s="8" t="n">
        <v>60</v>
      </c>
      <c r="L67" s="8" t="n"/>
      <c r="M67" s="8" t="n">
        <v>1</v>
      </c>
      <c r="N67" s="8" t="n">
        <v>17</v>
      </c>
      <c r="O67" s="8">
        <f>3600*M67*H67*I67*K67/(J67*N67*60)</f>
        <v/>
      </c>
      <c r="P67" s="8" t="n"/>
      <c r="Q67" s="8" t="n"/>
      <c r="R67" s="8" t="n"/>
      <c r="S67" s="8" t="n"/>
    </row>
    <row r="68">
      <c r="B68" s="8" t="n">
        <v>58</v>
      </c>
      <c r="C68" s="8" t="inlineStr">
        <is>
          <t xml:space="preserve">1/10 foreman 1 helper, 1 operator </t>
        </is>
      </c>
      <c r="D68" s="8" t="inlineStr">
        <is>
          <t>Hoe</t>
        </is>
      </c>
      <c r="E68" s="8" t="inlineStr">
        <is>
          <t>01 rock excavation using hydraulic excavator</t>
        </is>
      </c>
      <c r="F68" s="8" t="n"/>
      <c r="G68" s="8" t="inlineStr">
        <is>
          <t>rock</t>
        </is>
      </c>
      <c r="H68" s="8" t="n">
        <v>0.98</v>
      </c>
      <c r="I68" s="8" t="n">
        <v>0.98</v>
      </c>
      <c r="J68" s="8" t="n">
        <v>0.63</v>
      </c>
      <c r="K68" s="8" t="n">
        <v>60</v>
      </c>
      <c r="L68" s="8" t="n"/>
      <c r="M68" s="8" t="n">
        <v>1</v>
      </c>
      <c r="N68" s="8" t="n">
        <v>19</v>
      </c>
      <c r="O68" s="8">
        <f>3600*M68*H68*I68*K68/(J68*N68*60)</f>
        <v/>
      </c>
      <c r="P68" s="8" t="n"/>
      <c r="Q68" s="8" t="n"/>
      <c r="R68" s="8" t="n"/>
      <c r="S68" s="8" t="n"/>
    </row>
    <row r="69">
      <c r="B69" s="8" t="n">
        <v>59</v>
      </c>
      <c r="C69" s="8" t="inlineStr">
        <is>
          <t xml:space="preserve">1/10 foreman 1 helper, 1 operator </t>
        </is>
      </c>
      <c r="D69" s="8" t="inlineStr">
        <is>
          <t>Hoe</t>
        </is>
      </c>
      <c r="E69" s="8" t="inlineStr">
        <is>
          <t>01 rock excavation using hydraulic excavator</t>
        </is>
      </c>
      <c r="F69" s="8" t="n"/>
      <c r="G69" s="8" t="inlineStr">
        <is>
          <t>rock</t>
        </is>
      </c>
      <c r="H69" s="8" t="n">
        <v>0.98</v>
      </c>
      <c r="I69" s="8" t="n">
        <v>0.98</v>
      </c>
      <c r="J69" s="8" t="n">
        <v>0.63</v>
      </c>
      <c r="K69" s="8" t="n">
        <v>60</v>
      </c>
      <c r="L69" s="8" t="n"/>
      <c r="M69" s="8" t="n">
        <v>1</v>
      </c>
      <c r="N69" s="8" t="n">
        <v>19</v>
      </c>
      <c r="O69" s="8">
        <f>3600*M69*H69*I69*K69/(J69*N69*60)</f>
        <v/>
      </c>
      <c r="P69" s="8" t="n"/>
      <c r="Q69" s="8" t="n"/>
      <c r="R69" s="8" t="n"/>
      <c r="S69" s="8" t="n"/>
    </row>
    <row r="70" ht="16.5" customHeight="1" thickBot="1">
      <c r="B70" s="9" t="n">
        <v>60</v>
      </c>
      <c r="C70" s="9" t="inlineStr">
        <is>
          <t xml:space="preserve">1/10 foreman 1 helper, 1 operator </t>
        </is>
      </c>
      <c r="D70" s="9" t="inlineStr">
        <is>
          <t>Hoe</t>
        </is>
      </c>
      <c r="E70" s="9" t="inlineStr">
        <is>
          <t>01 rock excavation using hydraulic excavator</t>
        </is>
      </c>
      <c r="F70" s="9" t="n"/>
      <c r="G70" s="9" t="inlineStr">
        <is>
          <t>rock</t>
        </is>
      </c>
      <c r="H70" s="9" t="n">
        <v>0.98</v>
      </c>
      <c r="I70" s="9" t="n">
        <v>0.98</v>
      </c>
      <c r="J70" s="9" t="n">
        <v>0.63</v>
      </c>
      <c r="K70" s="9" t="n">
        <v>60</v>
      </c>
      <c r="L70" s="9" t="n"/>
      <c r="M70" s="9" t="n">
        <v>1</v>
      </c>
      <c r="N70" s="9" t="n">
        <v>21</v>
      </c>
      <c r="O70" s="9">
        <f>3600*M70*H70*I70*K70/(J70*N70*60)</f>
        <v/>
      </c>
      <c r="P70" s="9" t="n"/>
      <c r="Q70" s="9" t="n"/>
      <c r="R70" s="9" t="n"/>
      <c r="S70" s="9" t="n"/>
    </row>
    <row r="71">
      <c r="B71" s="7" t="n">
        <v>61</v>
      </c>
      <c r="C71" s="7" t="inlineStr">
        <is>
          <t xml:space="preserve">1/10 foreman 1 helper, 1 operator </t>
        </is>
      </c>
      <c r="D71" s="7" t="inlineStr">
        <is>
          <t>Hoe</t>
        </is>
      </c>
      <c r="E71" s="7" t="inlineStr">
        <is>
          <t>01 rock excavation using hydraulic excavator</t>
        </is>
      </c>
      <c r="F71" s="7" t="n"/>
      <c r="G71" s="7" t="inlineStr">
        <is>
          <t>rock</t>
        </is>
      </c>
      <c r="H71" s="7" t="n">
        <v>0.98</v>
      </c>
      <c r="I71" s="7" t="n">
        <v>0.98</v>
      </c>
      <c r="J71" s="7" t="n">
        <v>0.63</v>
      </c>
      <c r="K71" s="7" t="n">
        <v>60</v>
      </c>
      <c r="L71" s="7" t="n"/>
      <c r="M71" s="7" t="n">
        <v>1</v>
      </c>
      <c r="N71" s="7" t="n">
        <v>17</v>
      </c>
      <c r="O71" s="7">
        <f>3600*M71*H71*I71*K71/(J71*N71*60)</f>
        <v/>
      </c>
      <c r="P71" s="7" t="n"/>
      <c r="Q71" s="7" t="n"/>
      <c r="R71" s="7" t="n"/>
      <c r="S71" s="7" t="n"/>
    </row>
    <row r="72">
      <c r="B72" s="8" t="n">
        <v>62</v>
      </c>
      <c r="C72" s="8" t="inlineStr">
        <is>
          <t xml:space="preserve">1/10 foreman 1 helper, 1 operator </t>
        </is>
      </c>
      <c r="D72" s="8" t="inlineStr">
        <is>
          <t>Hoe</t>
        </is>
      </c>
      <c r="E72" s="8" t="inlineStr">
        <is>
          <t>01 rock excavation using hydraulic excavator</t>
        </is>
      </c>
      <c r="F72" s="8" t="n"/>
      <c r="G72" s="8" t="inlineStr">
        <is>
          <t>rock</t>
        </is>
      </c>
      <c r="H72" s="8" t="n">
        <v>0.98</v>
      </c>
      <c r="I72" s="8" t="n">
        <v>0.98</v>
      </c>
      <c r="J72" s="8" t="n">
        <v>0.63</v>
      </c>
      <c r="K72" s="8" t="n">
        <v>60</v>
      </c>
      <c r="L72" s="8" t="n"/>
      <c r="M72" s="8" t="n">
        <v>1</v>
      </c>
      <c r="N72" s="8" t="n">
        <v>21</v>
      </c>
      <c r="O72" s="8">
        <f>3600*M72*H72*I72*K72/(J72*N72*60)</f>
        <v/>
      </c>
      <c r="P72" s="8" t="n"/>
      <c r="Q72" s="8" t="n"/>
      <c r="R72" s="8" t="n"/>
      <c r="S72" s="8" t="n"/>
    </row>
    <row r="73">
      <c r="B73" s="8" t="n">
        <v>63</v>
      </c>
      <c r="C73" s="8" t="inlineStr">
        <is>
          <t xml:space="preserve">1/10 foreman 1 helper, 1 operator </t>
        </is>
      </c>
      <c r="D73" s="8" t="inlineStr">
        <is>
          <t>Hoe</t>
        </is>
      </c>
      <c r="E73" s="8" t="inlineStr">
        <is>
          <t>01 rock excavation using hydraulic excavator</t>
        </is>
      </c>
      <c r="F73" s="8" t="n"/>
      <c r="G73" s="8" t="inlineStr">
        <is>
          <t>rock</t>
        </is>
      </c>
      <c r="H73" s="8" t="n">
        <v>0.98</v>
      </c>
      <c r="I73" s="8" t="n">
        <v>0.98</v>
      </c>
      <c r="J73" s="8" t="n">
        <v>0.63</v>
      </c>
      <c r="K73" s="8" t="n">
        <v>60</v>
      </c>
      <c r="L73" s="8" t="n"/>
      <c r="M73" s="8" t="n">
        <v>1</v>
      </c>
      <c r="N73" s="8" t="n">
        <v>22</v>
      </c>
      <c r="O73" s="8">
        <f>3600*M73*H73*I73*K73/(J73*N73*60)</f>
        <v/>
      </c>
      <c r="P73" s="8" t="n"/>
      <c r="Q73" s="8" t="n"/>
      <c r="R73" s="8" t="n"/>
      <c r="S73" s="8" t="n"/>
    </row>
    <row r="74">
      <c r="B74" s="8" t="n">
        <v>64</v>
      </c>
      <c r="C74" s="8" t="inlineStr">
        <is>
          <t xml:space="preserve">1/10 foreman 1 helper, 1 operator </t>
        </is>
      </c>
      <c r="D74" s="8" t="inlineStr">
        <is>
          <t>Hoe</t>
        </is>
      </c>
      <c r="E74" s="8" t="inlineStr">
        <is>
          <t>01 rock excavation using hydraulic excavator</t>
        </is>
      </c>
      <c r="F74" s="8" t="n"/>
      <c r="G74" s="8" t="inlineStr">
        <is>
          <t>rock</t>
        </is>
      </c>
      <c r="H74" s="8" t="n">
        <v>0.98</v>
      </c>
      <c r="I74" s="8" t="n">
        <v>0.98</v>
      </c>
      <c r="J74" s="8" t="n">
        <v>0.63</v>
      </c>
      <c r="K74" s="8" t="n">
        <v>60</v>
      </c>
      <c r="L74" s="8" t="n"/>
      <c r="M74" s="8" t="n">
        <v>1</v>
      </c>
      <c r="N74" s="8" t="n">
        <v>22</v>
      </c>
      <c r="O74" s="8">
        <f>3600*M74*H74*I74*K74/(J74*N74*60)</f>
        <v/>
      </c>
      <c r="P74" s="8" t="n"/>
      <c r="Q74" s="8" t="n"/>
      <c r="R74" s="8" t="n"/>
      <c r="S74" s="8" t="n"/>
    </row>
    <row r="75" ht="16.5" customHeight="1" thickBot="1">
      <c r="B75" s="9" t="n">
        <v>65</v>
      </c>
      <c r="C75" s="9" t="inlineStr">
        <is>
          <t xml:space="preserve">1/10 foreman 1 helper, 1 operator </t>
        </is>
      </c>
      <c r="D75" s="9" t="inlineStr">
        <is>
          <t>Hoe</t>
        </is>
      </c>
      <c r="E75" s="9" t="inlineStr">
        <is>
          <t>01 rock excavation using hydraulic excavator</t>
        </is>
      </c>
      <c r="F75" s="9" t="n"/>
      <c r="G75" s="9" t="inlineStr">
        <is>
          <t>rock</t>
        </is>
      </c>
      <c r="H75" s="9" t="n">
        <v>0.98</v>
      </c>
      <c r="I75" s="9" t="n">
        <v>0.98</v>
      </c>
      <c r="J75" s="9" t="n">
        <v>0.63</v>
      </c>
      <c r="K75" s="9" t="n">
        <v>60</v>
      </c>
      <c r="L75" s="9" t="n"/>
      <c r="M75" s="9" t="n">
        <v>1</v>
      </c>
      <c r="N75" s="9" t="n">
        <v>99</v>
      </c>
      <c r="O75" s="9">
        <f>3600*M75*H75*I75*K75/(J75*N75*60)</f>
        <v/>
      </c>
      <c r="P75" s="9" t="n"/>
      <c r="Q75" s="9" t="n"/>
      <c r="R75" s="9" t="n"/>
      <c r="S75" s="9" t="n"/>
    </row>
    <row r="76">
      <c r="B76" s="7" t="n">
        <v>66</v>
      </c>
      <c r="C76" s="7" t="inlineStr">
        <is>
          <t xml:space="preserve">1/10 foreman 1 helper, 1 operator </t>
        </is>
      </c>
      <c r="D76" s="7" t="inlineStr">
        <is>
          <t>Hoe</t>
        </is>
      </c>
      <c r="E76" s="7" t="inlineStr">
        <is>
          <t>01 rock excavation using hydraulic excavator</t>
        </is>
      </c>
      <c r="F76" s="7" t="n"/>
      <c r="G76" s="7" t="inlineStr">
        <is>
          <t>rock</t>
        </is>
      </c>
      <c r="H76" s="7" t="n">
        <v>0.98</v>
      </c>
      <c r="I76" s="7" t="n">
        <v>0.77</v>
      </c>
      <c r="J76" s="7" t="n">
        <v>0.63</v>
      </c>
      <c r="K76" s="7" t="n">
        <v>60</v>
      </c>
      <c r="L76" s="7" t="n"/>
      <c r="M76" s="7" t="n">
        <v>1</v>
      </c>
      <c r="N76" s="7" t="n">
        <v>28</v>
      </c>
      <c r="O76" s="7">
        <f>3600*M76*H76*I76*K76/(J76*N76*60)</f>
        <v/>
      </c>
      <c r="P76" s="7" t="n"/>
      <c r="Q76" s="7" t="n"/>
      <c r="R76" s="7" t="n"/>
      <c r="S76" s="7" t="n"/>
    </row>
    <row r="77">
      <c r="B77" s="8" t="n">
        <v>67</v>
      </c>
      <c r="C77" s="8" t="inlineStr">
        <is>
          <t xml:space="preserve">1/10 foreman 1 helper, 1 operator </t>
        </is>
      </c>
      <c r="D77" s="8" t="inlineStr">
        <is>
          <t>Hoe</t>
        </is>
      </c>
      <c r="E77" s="8" t="inlineStr">
        <is>
          <t>01 rock excavation using hydraulic excavator</t>
        </is>
      </c>
      <c r="F77" s="8" t="n"/>
      <c r="G77" s="8" t="inlineStr">
        <is>
          <t>rock</t>
        </is>
      </c>
      <c r="H77" s="8" t="n">
        <v>0.98</v>
      </c>
      <c r="I77" s="8" t="n">
        <v>0.77</v>
      </c>
      <c r="J77" s="8" t="n">
        <v>0.63</v>
      </c>
      <c r="K77" s="8" t="n">
        <v>60</v>
      </c>
      <c r="L77" s="8" t="n"/>
      <c r="M77" s="8" t="n">
        <v>1</v>
      </c>
      <c r="N77" s="8" t="n">
        <v>30</v>
      </c>
      <c r="O77" s="8">
        <f>3600*M77*H77*I77*K77/(J77*N77*60)</f>
        <v/>
      </c>
      <c r="P77" s="8" t="n"/>
      <c r="Q77" s="8" t="n"/>
      <c r="R77" s="8" t="n"/>
      <c r="S77" s="8" t="n"/>
    </row>
    <row r="78">
      <c r="B78" s="8" t="n">
        <v>68</v>
      </c>
      <c r="C78" s="8" t="inlineStr">
        <is>
          <t xml:space="preserve">1/10 foreman 1 helper, 1 operator </t>
        </is>
      </c>
      <c r="D78" s="8" t="inlineStr">
        <is>
          <t>Hoe</t>
        </is>
      </c>
      <c r="E78" s="8" t="inlineStr">
        <is>
          <t>01 rock excavation using hydraulic excavator</t>
        </is>
      </c>
      <c r="F78" s="8" t="n"/>
      <c r="G78" s="8" t="inlineStr">
        <is>
          <t>rock</t>
        </is>
      </c>
      <c r="H78" s="8" t="n">
        <v>0.98</v>
      </c>
      <c r="I78" s="8" t="n">
        <v>0.86</v>
      </c>
      <c r="J78" s="8" t="n">
        <v>0.63</v>
      </c>
      <c r="K78" s="8" t="n">
        <v>60</v>
      </c>
      <c r="L78" s="8" t="n"/>
      <c r="M78" s="8" t="n">
        <v>1</v>
      </c>
      <c r="N78" s="8" t="n">
        <v>23</v>
      </c>
      <c r="O78" s="8">
        <f>3600*M78*H78*I78*K78/(J78*N78*60)</f>
        <v/>
      </c>
      <c r="P78" s="8" t="n"/>
      <c r="Q78" s="8" t="n"/>
      <c r="R78" s="8" t="n"/>
      <c r="S78" s="8" t="n"/>
    </row>
    <row r="79">
      <c r="B79" s="8" t="n">
        <v>69</v>
      </c>
      <c r="C79" s="8" t="inlineStr">
        <is>
          <t xml:space="preserve">1/10 foreman 1 helper, 1 operator </t>
        </is>
      </c>
      <c r="D79" s="8" t="inlineStr">
        <is>
          <t>Hoe</t>
        </is>
      </c>
      <c r="E79" s="8" t="inlineStr">
        <is>
          <t>01 rock excavation using hydraulic excavator</t>
        </is>
      </c>
      <c r="F79" s="8" t="n"/>
      <c r="G79" s="8" t="inlineStr">
        <is>
          <t>rock</t>
        </is>
      </c>
      <c r="H79" s="8" t="n">
        <v>0.98</v>
      </c>
      <c r="I79" s="8" t="n">
        <v>0.86</v>
      </c>
      <c r="J79" s="8" t="n">
        <v>0.63</v>
      </c>
      <c r="K79" s="8" t="n">
        <v>60</v>
      </c>
      <c r="L79" s="8" t="n"/>
      <c r="M79" s="8" t="n">
        <v>1</v>
      </c>
      <c r="N79" s="8" t="n">
        <v>23</v>
      </c>
      <c r="O79" s="8">
        <f>3600*M79*H79*I79*K79/(J79*N79*60)</f>
        <v/>
      </c>
      <c r="P79" s="8" t="n"/>
      <c r="Q79" s="8" t="n"/>
      <c r="R79" s="8" t="n"/>
      <c r="S79" s="8" t="n"/>
    </row>
    <row r="80" ht="16.5" customHeight="1" thickBot="1">
      <c r="B80" s="9" t="n">
        <v>70</v>
      </c>
      <c r="C80" s="9" t="inlineStr">
        <is>
          <t xml:space="preserve">1/10 foreman 1 helper, 1 operator </t>
        </is>
      </c>
      <c r="D80" s="9" t="inlineStr">
        <is>
          <t>Hoe</t>
        </is>
      </c>
      <c r="E80" s="9" t="inlineStr">
        <is>
          <t>01 rock excavation using hydraulic excavator</t>
        </is>
      </c>
      <c r="F80" s="9" t="n"/>
      <c r="G80" s="9" t="inlineStr">
        <is>
          <t>rock</t>
        </is>
      </c>
      <c r="H80" s="9" t="n">
        <v>0.98</v>
      </c>
      <c r="I80" s="9" t="n">
        <v>0.98</v>
      </c>
      <c r="J80" s="9" t="n">
        <v>0.63</v>
      </c>
      <c r="K80" s="9" t="n">
        <v>60</v>
      </c>
      <c r="L80" s="9" t="n"/>
      <c r="M80" s="9" t="n">
        <v>1</v>
      </c>
      <c r="N80" s="9" t="n">
        <v>23</v>
      </c>
      <c r="O80" s="9">
        <f>3600*M80*H80*I80*K80/(J80*N80*60)</f>
        <v/>
      </c>
      <c r="P80" s="9" t="n"/>
      <c r="Q80" s="9" t="n"/>
      <c r="R80" s="9" t="n"/>
      <c r="S80" s="9" t="n"/>
    </row>
    <row r="81">
      <c r="B81" s="7" t="n">
        <v>71</v>
      </c>
      <c r="C81" s="7" t="inlineStr">
        <is>
          <t xml:space="preserve">1/10 foreman 1 helper, 1 operator </t>
        </is>
      </c>
      <c r="D81" s="7" t="inlineStr">
        <is>
          <t>Hoe</t>
        </is>
      </c>
      <c r="E81" s="7" t="inlineStr">
        <is>
          <t>01 rock excavation using hydraulic excavator</t>
        </is>
      </c>
      <c r="F81" s="7" t="n"/>
      <c r="G81" s="7" t="inlineStr">
        <is>
          <t>rock</t>
        </is>
      </c>
      <c r="H81" s="7" t="n">
        <v>0.98</v>
      </c>
      <c r="I81" s="7" t="n">
        <v>0.98</v>
      </c>
      <c r="J81" s="7" t="n">
        <v>0.63</v>
      </c>
      <c r="K81" s="7" t="n">
        <v>60</v>
      </c>
      <c r="L81" s="7" t="n"/>
      <c r="M81" s="7" t="n">
        <v>1</v>
      </c>
      <c r="N81" s="7" t="n">
        <v>46</v>
      </c>
      <c r="O81" s="7">
        <f>3600*M81*H81*I81*K81/(J81*N81*60)</f>
        <v/>
      </c>
      <c r="P81" s="7" t="n"/>
      <c r="Q81" s="7" t="n"/>
      <c r="R81" s="7" t="n"/>
      <c r="S81" s="7" t="n"/>
    </row>
    <row r="82">
      <c r="B82" s="8" t="n">
        <v>72</v>
      </c>
      <c r="C82" s="8" t="inlineStr">
        <is>
          <t xml:space="preserve">1/10 foreman 1 helper, 1 operator </t>
        </is>
      </c>
      <c r="D82" s="8" t="inlineStr">
        <is>
          <t>Hoe</t>
        </is>
      </c>
      <c r="E82" s="8" t="inlineStr">
        <is>
          <t>01 rock excavation using hydraulic excavator</t>
        </is>
      </c>
      <c r="F82" s="8" t="n"/>
      <c r="G82" s="8" t="inlineStr">
        <is>
          <t>rock</t>
        </is>
      </c>
      <c r="H82" s="8" t="n">
        <v>0.98</v>
      </c>
      <c r="I82" s="8" t="n">
        <v>0.98</v>
      </c>
      <c r="J82" s="8" t="n">
        <v>0.63</v>
      </c>
      <c r="K82" s="8" t="n">
        <v>60</v>
      </c>
      <c r="L82" s="8" t="n"/>
      <c r="M82" s="8" t="n">
        <v>1</v>
      </c>
      <c r="N82" s="8" t="n">
        <v>28</v>
      </c>
      <c r="O82" s="8">
        <f>3600*M82*H82*I82*K82/(J82*N82*60)</f>
        <v/>
      </c>
      <c r="P82" s="8" t="n"/>
      <c r="Q82" s="8" t="n"/>
      <c r="R82" s="8" t="n"/>
      <c r="S82" s="8" t="n"/>
    </row>
    <row r="83">
      <c r="B83" s="8" t="n">
        <v>73</v>
      </c>
      <c r="C83" s="8" t="inlineStr">
        <is>
          <t xml:space="preserve">1/10 foreman 1 helper, 1 operator </t>
        </is>
      </c>
      <c r="D83" s="8" t="inlineStr">
        <is>
          <t>Hoe</t>
        </is>
      </c>
      <c r="E83" s="8" t="inlineStr">
        <is>
          <t>01 rock excavation using hydraulic excavator</t>
        </is>
      </c>
      <c r="F83" s="8" t="n"/>
      <c r="G83" s="8" t="inlineStr">
        <is>
          <t>rock</t>
        </is>
      </c>
      <c r="H83" s="8" t="n">
        <v>0.98</v>
      </c>
      <c r="I83" s="8" t="n">
        <v>0.98</v>
      </c>
      <c r="J83" s="8" t="n">
        <v>0.63</v>
      </c>
      <c r="K83" s="8" t="n">
        <v>60</v>
      </c>
      <c r="L83" s="8" t="n"/>
      <c r="M83" s="8" t="n">
        <v>1</v>
      </c>
      <c r="N83" s="8" t="n">
        <v>69</v>
      </c>
      <c r="O83" s="8">
        <f>3600*M83*H83*I83*K83/(J83*N83*60)</f>
        <v/>
      </c>
      <c r="P83" s="8" t="n"/>
      <c r="Q83" s="8" t="n"/>
      <c r="R83" s="8" t="n"/>
      <c r="S83" s="8" t="n"/>
    </row>
    <row r="84">
      <c r="B84" s="8" t="n">
        <v>74</v>
      </c>
      <c r="C84" s="8" t="inlineStr">
        <is>
          <t xml:space="preserve">1/10 foreman 1 helper, 1 operator </t>
        </is>
      </c>
      <c r="D84" s="8" t="inlineStr">
        <is>
          <t>Hoe</t>
        </is>
      </c>
      <c r="E84" s="8" t="inlineStr">
        <is>
          <t>01 rock excavation using hydraulic excavator</t>
        </is>
      </c>
      <c r="F84" s="8" t="n"/>
      <c r="G84" s="8" t="inlineStr">
        <is>
          <t>rock</t>
        </is>
      </c>
      <c r="H84" s="8" t="n">
        <v>0.98</v>
      </c>
      <c r="I84" s="8" t="n">
        <v>0.98</v>
      </c>
      <c r="J84" s="8" t="n">
        <v>0.63</v>
      </c>
      <c r="K84" s="8" t="n">
        <v>60</v>
      </c>
      <c r="L84" s="8" t="n"/>
      <c r="M84" s="8" t="n">
        <v>1</v>
      </c>
      <c r="N84" s="8" t="n">
        <v>16</v>
      </c>
      <c r="O84" s="8">
        <f>3600*M84*H84*I84*K84/(J84*N84*60)</f>
        <v/>
      </c>
      <c r="P84" s="8" t="n"/>
      <c r="Q84" s="8" t="n"/>
      <c r="R84" s="8" t="n"/>
      <c r="S84" s="8" t="n"/>
    </row>
    <row r="85" ht="16.5" customHeight="1" thickBot="1">
      <c r="B85" s="9" t="n">
        <v>75</v>
      </c>
      <c r="C85" s="9" t="inlineStr">
        <is>
          <t xml:space="preserve">1/10 foreman 1 helper, 1 operator </t>
        </is>
      </c>
      <c r="D85" s="9" t="inlineStr">
        <is>
          <t>Hoe</t>
        </is>
      </c>
      <c r="E85" s="9" t="inlineStr">
        <is>
          <t>01 rock excavation using hydraulic excavator</t>
        </is>
      </c>
      <c r="F85" s="9" t="n"/>
      <c r="G85" s="9" t="inlineStr">
        <is>
          <t>rock</t>
        </is>
      </c>
      <c r="H85" s="9" t="n">
        <v>0.98</v>
      </c>
      <c r="I85" s="9" t="n">
        <v>0.98</v>
      </c>
      <c r="J85" s="9" t="n">
        <v>0.63</v>
      </c>
      <c r="K85" s="9" t="n">
        <v>60</v>
      </c>
      <c r="L85" s="9" t="n"/>
      <c r="M85" s="9" t="n">
        <v>1</v>
      </c>
      <c r="N85" s="9" t="n">
        <v>21</v>
      </c>
      <c r="O85" s="9">
        <f>3600*M85*H85*I85*K85/(J85*N85*60)</f>
        <v/>
      </c>
      <c r="P85" s="9" t="n"/>
      <c r="Q85" s="9" t="n"/>
      <c r="R85" s="9" t="n"/>
      <c r="S85" s="9" t="n"/>
    </row>
    <row r="86">
      <c r="B86" s="7" t="n">
        <v>76</v>
      </c>
      <c r="C86" s="7" t="inlineStr">
        <is>
          <t xml:space="preserve">1/10 foreman 1 helper, 1 operator </t>
        </is>
      </c>
      <c r="D86" s="7" t="inlineStr">
        <is>
          <t>Hoe</t>
        </is>
      </c>
      <c r="E86" s="7" t="inlineStr">
        <is>
          <t>01 rock excavation using hydraulic excavator</t>
        </is>
      </c>
      <c r="F86" s="7" t="n"/>
      <c r="G86" s="7" t="inlineStr">
        <is>
          <t>rock</t>
        </is>
      </c>
      <c r="H86" s="7" t="n">
        <v>0.98</v>
      </c>
      <c r="I86" s="7" t="n">
        <v>0.98</v>
      </c>
      <c r="J86" s="7" t="n">
        <v>0.63</v>
      </c>
      <c r="K86" s="7" t="n">
        <v>60</v>
      </c>
      <c r="L86" s="7" t="n"/>
      <c r="M86" s="7" t="n">
        <v>1</v>
      </c>
      <c r="N86" s="7" t="n">
        <v>26</v>
      </c>
      <c r="O86" s="7">
        <f>3600*M86*H86*I86*K86/(J86*N86*60)</f>
        <v/>
      </c>
      <c r="P86" s="7" t="n"/>
      <c r="Q86" s="7" t="n"/>
      <c r="R86" s="7" t="n"/>
      <c r="S86" s="7" t="n"/>
    </row>
    <row r="87">
      <c r="B87" s="8" t="n">
        <v>77</v>
      </c>
      <c r="C87" s="8" t="inlineStr">
        <is>
          <t xml:space="preserve">1/10 foreman 1 helper, 1 operator </t>
        </is>
      </c>
      <c r="D87" s="8" t="inlineStr">
        <is>
          <t>Hoe</t>
        </is>
      </c>
      <c r="E87" s="8" t="inlineStr">
        <is>
          <t>01 rock excavation using hydraulic excavator</t>
        </is>
      </c>
      <c r="F87" s="8" t="n"/>
      <c r="G87" s="8" t="inlineStr">
        <is>
          <t>rock</t>
        </is>
      </c>
      <c r="H87" s="8" t="n">
        <v>0.98</v>
      </c>
      <c r="I87" s="8" t="n">
        <v>0.98</v>
      </c>
      <c r="J87" s="8" t="n">
        <v>0.63</v>
      </c>
      <c r="K87" s="8" t="n">
        <v>60</v>
      </c>
      <c r="L87" s="8" t="n"/>
      <c r="M87" s="8" t="n">
        <v>1</v>
      </c>
      <c r="N87" s="8" t="n">
        <v>22</v>
      </c>
      <c r="O87" s="8">
        <f>3600*M87*H87*I87*K87/(J87*N87*60)</f>
        <v/>
      </c>
      <c r="P87" s="8" t="n"/>
      <c r="Q87" s="8" t="n"/>
      <c r="R87" s="8" t="n"/>
      <c r="S87" s="8" t="n"/>
    </row>
    <row r="88">
      <c r="B88" s="8" t="n">
        <v>78</v>
      </c>
      <c r="C88" s="8" t="inlineStr">
        <is>
          <t xml:space="preserve">1/10 foreman 1 helper, 1 operator </t>
        </is>
      </c>
      <c r="D88" s="8" t="inlineStr">
        <is>
          <t>Hoe</t>
        </is>
      </c>
      <c r="E88" s="8" t="inlineStr">
        <is>
          <t>01 rock excavation using hydraulic excavator</t>
        </is>
      </c>
      <c r="F88" s="8" t="n"/>
      <c r="G88" s="8" t="inlineStr">
        <is>
          <t>rock</t>
        </is>
      </c>
      <c r="H88" s="8" t="n">
        <v>0.98</v>
      </c>
      <c r="I88" s="8" t="n">
        <v>0.98</v>
      </c>
      <c r="J88" s="8" t="n">
        <v>0.63</v>
      </c>
      <c r="K88" s="8" t="n">
        <v>60</v>
      </c>
      <c r="L88" s="8" t="n"/>
      <c r="M88" s="8" t="n">
        <v>1</v>
      </c>
      <c r="N88" s="8" t="n">
        <v>19</v>
      </c>
      <c r="O88" s="8">
        <f>3600*M88*H88*I88*K88/(J88*N88*60)</f>
        <v/>
      </c>
      <c r="P88" s="8" t="n"/>
      <c r="Q88" s="8" t="n"/>
      <c r="R88" s="8" t="n"/>
      <c r="S88" s="8" t="n"/>
    </row>
    <row r="89">
      <c r="B89" s="8" t="n">
        <v>79</v>
      </c>
      <c r="C89" s="8" t="inlineStr">
        <is>
          <t xml:space="preserve">1/10 foreman 1 helper, 1 operator </t>
        </is>
      </c>
      <c r="D89" s="8" t="inlineStr">
        <is>
          <t>Hoe</t>
        </is>
      </c>
      <c r="E89" s="8" t="inlineStr">
        <is>
          <t>01 rock excavation using hydraulic excavator</t>
        </is>
      </c>
      <c r="F89" s="8" t="n"/>
      <c r="G89" s="8" t="inlineStr">
        <is>
          <t>rock</t>
        </is>
      </c>
      <c r="H89" s="8" t="n">
        <v>0.98</v>
      </c>
      <c r="I89" s="8" t="n">
        <v>0.98</v>
      </c>
      <c r="J89" s="8" t="n">
        <v>0.63</v>
      </c>
      <c r="K89" s="8" t="n">
        <v>60</v>
      </c>
      <c r="L89" s="8" t="n"/>
      <c r="M89" s="8" t="n">
        <v>1</v>
      </c>
      <c r="N89" s="8" t="n">
        <v>18</v>
      </c>
      <c r="O89" s="8">
        <f>3600*M89*H89*I89*K89/(J89*N89*60)</f>
        <v/>
      </c>
      <c r="P89" s="8" t="n"/>
      <c r="Q89" s="8" t="n"/>
      <c r="R89" s="8" t="n"/>
      <c r="S89" s="8" t="n"/>
    </row>
    <row r="90" ht="16.5" customHeight="1" thickBot="1">
      <c r="B90" s="9" t="n">
        <v>80</v>
      </c>
      <c r="C90" s="9" t="inlineStr">
        <is>
          <t xml:space="preserve">1/10 foreman 1 helper, 1 operator </t>
        </is>
      </c>
      <c r="D90" s="9" t="inlineStr">
        <is>
          <t>Hoe</t>
        </is>
      </c>
      <c r="E90" s="9" t="inlineStr">
        <is>
          <t>01 rock excavation using hydraulic excavator</t>
        </is>
      </c>
      <c r="F90" s="9" t="n"/>
      <c r="G90" s="9" t="inlineStr">
        <is>
          <t>rock</t>
        </is>
      </c>
      <c r="H90" s="9" t="n">
        <v>0.98</v>
      </c>
      <c r="I90" s="9" t="n">
        <v>0.98</v>
      </c>
      <c r="J90" s="9" t="n">
        <v>0.63</v>
      </c>
      <c r="K90" s="9" t="n">
        <v>60</v>
      </c>
      <c r="L90" s="9" t="n"/>
      <c r="M90" s="9" t="n">
        <v>1</v>
      </c>
      <c r="N90" s="9" t="n">
        <v>36</v>
      </c>
      <c r="O90" s="9">
        <f>3600*M90*H90*I90*K90/(J90*N90*60)</f>
        <v/>
      </c>
      <c r="P90" s="9" t="n"/>
      <c r="Q90" s="9" t="n"/>
      <c r="R90" s="9" t="n"/>
      <c r="S90" s="9" t="n"/>
    </row>
    <row r="91">
      <c r="B91" s="7" t="n">
        <v>81</v>
      </c>
      <c r="C91" s="7" t="inlineStr">
        <is>
          <t xml:space="preserve">1/10 foreman 1 helper, 1 operator </t>
        </is>
      </c>
      <c r="D91" s="7" t="inlineStr">
        <is>
          <t>Hoe</t>
        </is>
      </c>
      <c r="E91" s="7" t="inlineStr">
        <is>
          <t>01 rock excavation using hydraulic excavator</t>
        </is>
      </c>
      <c r="F91" s="7" t="n"/>
      <c r="G91" s="7" t="inlineStr">
        <is>
          <t>rock</t>
        </is>
      </c>
      <c r="H91" s="7" t="n">
        <v>0.98</v>
      </c>
      <c r="I91" s="7" t="n">
        <v>0.98</v>
      </c>
      <c r="J91" s="7" t="n">
        <v>0.63</v>
      </c>
      <c r="K91" s="7" t="n">
        <v>60</v>
      </c>
      <c r="L91" s="7" t="n"/>
      <c r="M91" s="7" t="n">
        <v>1</v>
      </c>
      <c r="N91" s="7" t="n">
        <v>23</v>
      </c>
      <c r="O91" s="7">
        <f>3600*M91*H91*I91*K91/(J91*N91*60)</f>
        <v/>
      </c>
      <c r="P91" s="7" t="n"/>
      <c r="Q91" s="7" t="n"/>
      <c r="R91" s="7" t="n"/>
      <c r="S91" s="7" t="n"/>
    </row>
    <row r="92">
      <c r="B92" s="8" t="n">
        <v>82</v>
      </c>
      <c r="C92" s="8" t="inlineStr">
        <is>
          <t xml:space="preserve">1/10 foreman 1 helper, 1 operator </t>
        </is>
      </c>
      <c r="D92" s="8" t="inlineStr">
        <is>
          <t>Hoe</t>
        </is>
      </c>
      <c r="E92" s="8" t="inlineStr">
        <is>
          <t>01 rock excavation using hydraulic excavator</t>
        </is>
      </c>
      <c r="F92" s="8" t="n"/>
      <c r="G92" s="8" t="inlineStr">
        <is>
          <t>rock</t>
        </is>
      </c>
      <c r="H92" s="8" t="n">
        <v>0.98</v>
      </c>
      <c r="I92" s="8" t="n">
        <v>0.98</v>
      </c>
      <c r="J92" s="8" t="n">
        <v>0.63</v>
      </c>
      <c r="K92" s="8" t="n">
        <v>60</v>
      </c>
      <c r="L92" s="8" t="n"/>
      <c r="M92" s="8" t="n">
        <v>1</v>
      </c>
      <c r="N92" s="8" t="n">
        <v>24</v>
      </c>
      <c r="O92" s="8">
        <f>3600*M92*H92*I92*K92/(J92*N92*60)</f>
        <v/>
      </c>
      <c r="P92" s="8" t="n"/>
      <c r="Q92" s="8" t="n"/>
      <c r="R92" s="8" t="n"/>
      <c r="S92" s="8" t="n"/>
    </row>
    <row r="93">
      <c r="B93" s="8" t="n">
        <v>83</v>
      </c>
      <c r="C93" s="8" t="inlineStr">
        <is>
          <t xml:space="preserve">1/10 foreman 1 helper, 1 operator </t>
        </is>
      </c>
      <c r="D93" s="8" t="inlineStr">
        <is>
          <t>Hoe</t>
        </is>
      </c>
      <c r="E93" s="8" t="inlineStr">
        <is>
          <t>01 rock excavation using hydraulic excavator</t>
        </is>
      </c>
      <c r="F93" s="8" t="n"/>
      <c r="G93" s="8" t="inlineStr">
        <is>
          <t>rock</t>
        </is>
      </c>
      <c r="H93" s="8" t="n">
        <v>0.98</v>
      </c>
      <c r="I93" s="8" t="n">
        <v>0.98</v>
      </c>
      <c r="J93" s="8" t="n">
        <v>0.63</v>
      </c>
      <c r="K93" s="8" t="n">
        <v>60</v>
      </c>
      <c r="L93" s="8" t="n"/>
      <c r="M93" s="8" t="n">
        <v>1</v>
      </c>
      <c r="N93" s="8" t="n">
        <v>153</v>
      </c>
      <c r="O93" s="8">
        <f>3600*M93*H93*I93*K93/(J93*N93*60)</f>
        <v/>
      </c>
      <c r="P93" s="8" t="n"/>
      <c r="Q93" s="8" t="n"/>
      <c r="R93" s="8" t="n"/>
      <c r="S93" s="8" t="n"/>
    </row>
    <row r="94">
      <c r="B94" s="8" t="n">
        <v>84</v>
      </c>
      <c r="C94" s="8" t="inlineStr">
        <is>
          <t xml:space="preserve">1/10 foreman 1 helper, 1 operator </t>
        </is>
      </c>
      <c r="D94" s="8" t="inlineStr">
        <is>
          <t>Hoe</t>
        </is>
      </c>
      <c r="E94" s="8" t="inlineStr">
        <is>
          <t>01 rock excavation using hydraulic excavator</t>
        </is>
      </c>
      <c r="F94" s="8" t="n"/>
      <c r="G94" s="8" t="inlineStr">
        <is>
          <t>rock</t>
        </is>
      </c>
      <c r="H94" s="8" t="n">
        <v>0.98</v>
      </c>
      <c r="I94" s="8" t="n">
        <v>0.98</v>
      </c>
      <c r="J94" s="8" t="n">
        <v>0.63</v>
      </c>
      <c r="K94" s="8" t="n">
        <v>60</v>
      </c>
      <c r="L94" s="8" t="n"/>
      <c r="M94" s="8" t="n">
        <v>1</v>
      </c>
      <c r="N94" s="8" t="n">
        <v>20</v>
      </c>
      <c r="O94" s="8">
        <f>3600*M94*H94*I94*K94/(J94*N94*60)</f>
        <v/>
      </c>
      <c r="P94" s="8" t="n"/>
      <c r="Q94" s="8" t="n"/>
      <c r="R94" s="8" t="n"/>
      <c r="S94" s="8" t="n"/>
    </row>
    <row r="95" ht="16.5" customHeight="1" thickBot="1">
      <c r="B95" s="9" t="n">
        <v>85</v>
      </c>
      <c r="C95" s="9" t="inlineStr">
        <is>
          <t xml:space="preserve">1/10 foreman 1 helper, 1 operator </t>
        </is>
      </c>
      <c r="D95" s="9" t="inlineStr">
        <is>
          <t>Hoe</t>
        </is>
      </c>
      <c r="E95" s="9" t="inlineStr">
        <is>
          <t>01 rock excavation using hydraulic excavator</t>
        </is>
      </c>
      <c r="F95" s="9" t="n"/>
      <c r="G95" s="9" t="inlineStr">
        <is>
          <t>rock</t>
        </is>
      </c>
      <c r="H95" s="9" t="n">
        <v>0.98</v>
      </c>
      <c r="I95" s="9" t="n">
        <v>0.98</v>
      </c>
      <c r="J95" s="9" t="n">
        <v>0.63</v>
      </c>
      <c r="K95" s="9" t="n">
        <v>60</v>
      </c>
      <c r="L95" s="9" t="n"/>
      <c r="M95" s="9" t="n">
        <v>1</v>
      </c>
      <c r="N95" s="9" t="n">
        <v>16</v>
      </c>
      <c r="O95" s="9">
        <f>3600*M95*H95*I95*K95/(J95*N95*60)</f>
        <v/>
      </c>
      <c r="P95" s="9" t="n"/>
      <c r="Q95" s="9" t="n"/>
      <c r="R95" s="9" t="n"/>
      <c r="S95" s="9" t="n"/>
    </row>
    <row r="96">
      <c r="B96" s="7" t="n">
        <v>86</v>
      </c>
      <c r="C96" s="7" t="inlineStr">
        <is>
          <t xml:space="preserve">1/10 foreman 1 helper, 1 operator </t>
        </is>
      </c>
      <c r="D96" s="7" t="inlineStr">
        <is>
          <t>Hoe</t>
        </is>
      </c>
      <c r="E96" s="7" t="inlineStr">
        <is>
          <t>01 rock excavation using hydraulic excavator</t>
        </is>
      </c>
      <c r="F96" s="7" t="n"/>
      <c r="G96" s="7" t="inlineStr">
        <is>
          <t>rock</t>
        </is>
      </c>
      <c r="H96" s="7" t="n">
        <v>0.98</v>
      </c>
      <c r="I96" s="7" t="n">
        <v>0.98</v>
      </c>
      <c r="J96" s="7" t="n">
        <v>0.63</v>
      </c>
      <c r="K96" s="7" t="n">
        <v>60</v>
      </c>
      <c r="L96" s="7" t="n"/>
      <c r="M96" s="7" t="n">
        <v>1</v>
      </c>
      <c r="N96" s="7" t="n">
        <v>21</v>
      </c>
      <c r="O96" s="7">
        <f>3600*M96*H96*I96*K96/(J96*N96*60)</f>
        <v/>
      </c>
      <c r="P96" s="7" t="n"/>
      <c r="Q96" s="7" t="n"/>
      <c r="R96" s="7" t="n"/>
      <c r="S96" s="7" t="n"/>
    </row>
    <row r="97">
      <c r="B97" s="8" t="n">
        <v>87</v>
      </c>
      <c r="C97" s="8" t="inlineStr">
        <is>
          <t xml:space="preserve">1/10 foreman 1 helper, 1 operator </t>
        </is>
      </c>
      <c r="D97" s="8" t="inlineStr">
        <is>
          <t>Hoe</t>
        </is>
      </c>
      <c r="E97" s="8" t="inlineStr">
        <is>
          <t>01 rock excavation using hydraulic excavator</t>
        </is>
      </c>
      <c r="F97" s="8" t="n"/>
      <c r="G97" s="8" t="inlineStr">
        <is>
          <t>rock</t>
        </is>
      </c>
      <c r="H97" s="8" t="n">
        <v>0.98</v>
      </c>
      <c r="I97" s="8" t="n">
        <v>0.98</v>
      </c>
      <c r="J97" s="8" t="n">
        <v>0.63</v>
      </c>
      <c r="K97" s="8" t="n">
        <v>60</v>
      </c>
      <c r="L97" s="8" t="n"/>
      <c r="M97" s="8" t="n">
        <v>1</v>
      </c>
      <c r="N97" s="8" t="n">
        <v>16</v>
      </c>
      <c r="O97" s="8">
        <f>3600*M97*H97*I97*K97/(J97*N97*60)</f>
        <v/>
      </c>
      <c r="P97" s="8" t="n"/>
      <c r="Q97" s="8" t="n"/>
      <c r="R97" s="8" t="n"/>
      <c r="S97" s="8" t="n"/>
    </row>
    <row r="98">
      <c r="B98" s="8" t="n">
        <v>88</v>
      </c>
      <c r="C98" s="8" t="inlineStr">
        <is>
          <t xml:space="preserve">1/10 foreman 1 helper, 1 operator </t>
        </is>
      </c>
      <c r="D98" s="8" t="inlineStr">
        <is>
          <t>Hoe</t>
        </is>
      </c>
      <c r="E98" s="8" t="inlineStr">
        <is>
          <t>01 rock excavation using hydraulic excavator</t>
        </is>
      </c>
      <c r="F98" s="8" t="n"/>
      <c r="G98" s="8" t="inlineStr">
        <is>
          <t>rock</t>
        </is>
      </c>
      <c r="H98" s="8" t="n">
        <v>0.98</v>
      </c>
      <c r="I98" s="8" t="n">
        <v>0.98</v>
      </c>
      <c r="J98" s="8" t="n">
        <v>0.63</v>
      </c>
      <c r="K98" s="8" t="n">
        <v>60</v>
      </c>
      <c r="L98" s="8" t="n"/>
      <c r="M98" s="8" t="n">
        <v>1</v>
      </c>
      <c r="N98" s="8" t="n">
        <v>16</v>
      </c>
      <c r="O98" s="8">
        <f>3600*M98*H98*I98*K98/(J98*N98*60)</f>
        <v/>
      </c>
      <c r="P98" s="8" t="n"/>
      <c r="Q98" s="8" t="n"/>
      <c r="R98" s="8" t="n"/>
      <c r="S98" s="8" t="n"/>
    </row>
    <row r="99">
      <c r="B99" s="8" t="n">
        <v>89</v>
      </c>
      <c r="C99" s="8" t="inlineStr">
        <is>
          <t xml:space="preserve">1/10 foreman 1 helper, 1 operator </t>
        </is>
      </c>
      <c r="D99" s="8" t="inlineStr">
        <is>
          <t>Hoe</t>
        </is>
      </c>
      <c r="E99" s="8" t="inlineStr">
        <is>
          <t>01 rock excavation using hydraulic excavator</t>
        </is>
      </c>
      <c r="F99" s="8" t="n"/>
      <c r="G99" s="8" t="inlineStr">
        <is>
          <t>rock</t>
        </is>
      </c>
      <c r="H99" s="8" t="n">
        <v>0.98</v>
      </c>
      <c r="I99" s="8" t="n">
        <v>0.98</v>
      </c>
      <c r="J99" s="8" t="n">
        <v>0.63</v>
      </c>
      <c r="K99" s="8" t="n">
        <v>60</v>
      </c>
      <c r="L99" s="8" t="n"/>
      <c r="M99" s="8" t="n">
        <v>1</v>
      </c>
      <c r="N99" s="8" t="n">
        <v>16</v>
      </c>
      <c r="O99" s="8">
        <f>3600*M99*H99*I99*K99/(J99*N99*60)</f>
        <v/>
      </c>
      <c r="P99" s="8" t="n"/>
      <c r="Q99" s="8" t="n"/>
      <c r="R99" s="8" t="n"/>
      <c r="S99" s="8" t="n"/>
    </row>
    <row r="100" ht="16.5" customHeight="1" thickBot="1">
      <c r="B100" s="9" t="n">
        <v>90</v>
      </c>
      <c r="C100" s="9" t="inlineStr">
        <is>
          <t xml:space="preserve">1/10 foreman 1 helper, 1 operator </t>
        </is>
      </c>
      <c r="D100" s="9" t="inlineStr">
        <is>
          <t>Hoe</t>
        </is>
      </c>
      <c r="E100" s="9" t="inlineStr">
        <is>
          <t>01 rock excavation using hydraulic excavator</t>
        </is>
      </c>
      <c r="F100" s="9" t="n"/>
      <c r="G100" s="9" t="inlineStr">
        <is>
          <t>rock</t>
        </is>
      </c>
      <c r="H100" s="9" t="n">
        <v>0.98</v>
      </c>
      <c r="I100" s="9" t="n">
        <v>0.98</v>
      </c>
      <c r="J100" s="9" t="n">
        <v>0.63</v>
      </c>
      <c r="K100" s="9" t="n">
        <v>60</v>
      </c>
      <c r="L100" s="9" t="n"/>
      <c r="M100" s="9" t="n">
        <v>1</v>
      </c>
      <c r="N100" s="9" t="n">
        <v>19</v>
      </c>
      <c r="O100" s="9">
        <f>3600*M100*H100*I100*K100/(J100*N100*60)</f>
        <v/>
      </c>
      <c r="P100" s="9" t="n"/>
      <c r="Q100" s="9" t="n"/>
      <c r="R100" s="9" t="n"/>
      <c r="S100" s="9" t="n"/>
    </row>
    <row r="101">
      <c r="B101" s="7" t="n">
        <v>91</v>
      </c>
      <c r="C101" s="7" t="inlineStr">
        <is>
          <t xml:space="preserve">1/10 foreman 1 helper, 1 operator </t>
        </is>
      </c>
      <c r="D101" s="7" t="inlineStr">
        <is>
          <t>Hoe</t>
        </is>
      </c>
      <c r="E101" s="7" t="inlineStr">
        <is>
          <t>01 rock excavation using hydraulic excavator</t>
        </is>
      </c>
      <c r="F101" s="7" t="n"/>
      <c r="G101" s="7" t="inlineStr">
        <is>
          <t>rock</t>
        </is>
      </c>
      <c r="H101" s="7" t="n">
        <v>0.98</v>
      </c>
      <c r="I101" s="7" t="n">
        <v>0.98</v>
      </c>
      <c r="J101" s="7" t="n">
        <v>0.63</v>
      </c>
      <c r="K101" s="7" t="n">
        <v>60</v>
      </c>
      <c r="L101" s="7" t="n"/>
      <c r="M101" s="7" t="n">
        <v>1</v>
      </c>
      <c r="N101" s="7" t="n">
        <v>17</v>
      </c>
      <c r="O101" s="7">
        <f>3600*M101*H101*I101*K101/(J101*N101*60)</f>
        <v/>
      </c>
      <c r="P101" s="7" t="n"/>
      <c r="Q101" s="7" t="n"/>
      <c r="R101" s="7" t="n"/>
      <c r="S101" s="7" t="n"/>
    </row>
    <row r="102">
      <c r="B102" s="8" t="n">
        <v>92</v>
      </c>
      <c r="C102" s="8" t="inlineStr">
        <is>
          <t xml:space="preserve">1/10 foreman 1 helper, 1 operator </t>
        </is>
      </c>
      <c r="D102" s="8" t="inlineStr">
        <is>
          <t>Hoe</t>
        </is>
      </c>
      <c r="E102" s="8" t="inlineStr">
        <is>
          <t>01 rock excavation using hydraulic excavator</t>
        </is>
      </c>
      <c r="F102" s="8" t="n"/>
      <c r="G102" s="8" t="inlineStr">
        <is>
          <t>rock</t>
        </is>
      </c>
      <c r="H102" s="8" t="n">
        <v>0.98</v>
      </c>
      <c r="I102" s="8" t="n">
        <v>0.98</v>
      </c>
      <c r="J102" s="8" t="n">
        <v>0.63</v>
      </c>
      <c r="K102" s="8" t="n">
        <v>60</v>
      </c>
      <c r="L102" s="8" t="n"/>
      <c r="M102" s="8" t="n">
        <v>1</v>
      </c>
      <c r="N102" s="8" t="n">
        <v>26</v>
      </c>
      <c r="O102" s="8">
        <f>3600*M102*H102*I102*K102/(J102*N102*60)</f>
        <v/>
      </c>
      <c r="P102" s="8" t="n"/>
      <c r="Q102" s="8" t="n"/>
      <c r="R102" s="8" t="n"/>
      <c r="S102" s="8" t="n"/>
    </row>
    <row r="103">
      <c r="B103" s="8" t="n">
        <v>93</v>
      </c>
      <c r="C103" s="8" t="inlineStr">
        <is>
          <t xml:space="preserve">1/10 foreman 1 helper, 1 operator </t>
        </is>
      </c>
      <c r="D103" s="8" t="inlineStr">
        <is>
          <t>Hoe</t>
        </is>
      </c>
      <c r="E103" s="8" t="inlineStr">
        <is>
          <t>01 rock excavation using hydraulic excavator</t>
        </is>
      </c>
      <c r="F103" s="8" t="n"/>
      <c r="G103" s="8" t="inlineStr">
        <is>
          <t>rock</t>
        </is>
      </c>
      <c r="H103" s="8" t="n">
        <v>0.98</v>
      </c>
      <c r="I103" s="8" t="n">
        <v>0.98</v>
      </c>
      <c r="J103" s="8" t="n">
        <v>0.63</v>
      </c>
      <c r="K103" s="8" t="n">
        <v>60</v>
      </c>
      <c r="L103" s="8" t="n"/>
      <c r="M103" s="8" t="n">
        <v>1</v>
      </c>
      <c r="N103" s="8" t="n">
        <v>186</v>
      </c>
      <c r="O103" s="8">
        <f>3600*M103*H103*I103*K103/(J103*N103*60)</f>
        <v/>
      </c>
      <c r="P103" s="8" t="n"/>
      <c r="Q103" s="8" t="n"/>
      <c r="R103" s="8" t="n"/>
      <c r="S103" s="8" t="n"/>
    </row>
    <row r="104">
      <c r="B104" s="8" t="n">
        <v>94</v>
      </c>
      <c r="C104" s="8" t="inlineStr">
        <is>
          <t xml:space="preserve">1/10 foreman 1 helper, 1 operator </t>
        </is>
      </c>
      <c r="D104" s="8" t="inlineStr">
        <is>
          <t>Hoe</t>
        </is>
      </c>
      <c r="E104" s="8" t="inlineStr">
        <is>
          <t>01 rock excavation using hydraulic excavator</t>
        </is>
      </c>
      <c r="F104" s="8" t="n"/>
      <c r="G104" s="8" t="inlineStr">
        <is>
          <t>rock</t>
        </is>
      </c>
      <c r="H104" s="8" t="n">
        <v>0.98</v>
      </c>
      <c r="I104" s="8" t="n">
        <v>0.98</v>
      </c>
      <c r="J104" s="8" t="n">
        <v>0.63</v>
      </c>
      <c r="K104" s="8" t="n">
        <v>60</v>
      </c>
      <c r="L104" s="8" t="n"/>
      <c r="M104" s="8" t="n">
        <v>1</v>
      </c>
      <c r="N104" s="8" t="n">
        <v>25</v>
      </c>
      <c r="O104" s="8">
        <f>3600*M104*H104*I104*K104/(J104*N104*60)</f>
        <v/>
      </c>
      <c r="P104" s="8" t="n"/>
      <c r="Q104" s="8" t="n"/>
      <c r="R104" s="8" t="n"/>
      <c r="S104" s="8" t="n"/>
    </row>
    <row r="105" ht="16.5" customHeight="1" thickBot="1">
      <c r="B105" s="9" t="n">
        <v>95</v>
      </c>
      <c r="C105" s="9" t="inlineStr">
        <is>
          <t xml:space="preserve">1/10 foreman 1 helper, 1 operator </t>
        </is>
      </c>
      <c r="D105" s="9" t="inlineStr">
        <is>
          <t>Hoe</t>
        </is>
      </c>
      <c r="E105" s="9" t="inlineStr">
        <is>
          <t>01 rock excavation using hydraulic excavator</t>
        </is>
      </c>
      <c r="F105" s="9" t="n"/>
      <c r="G105" s="9" t="inlineStr">
        <is>
          <t>rock</t>
        </is>
      </c>
      <c r="H105" s="9" t="n">
        <v>0.98</v>
      </c>
      <c r="I105" s="9" t="n">
        <v>0.98</v>
      </c>
      <c r="J105" s="9" t="n">
        <v>0.63</v>
      </c>
      <c r="K105" s="9" t="n">
        <v>60</v>
      </c>
      <c r="L105" s="9" t="n"/>
      <c r="M105" s="9" t="n">
        <v>1</v>
      </c>
      <c r="N105" s="9" t="n">
        <v>16</v>
      </c>
      <c r="O105" s="9">
        <f>3600*M105*H105*I105*K105/(J105*N105*60)</f>
        <v/>
      </c>
      <c r="P105" s="9" t="n"/>
      <c r="Q105" s="9" t="n"/>
      <c r="R105" s="9" t="n"/>
      <c r="S105" s="9" t="n"/>
    </row>
    <row r="106">
      <c r="B106" s="7" t="n">
        <v>96</v>
      </c>
      <c r="C106" s="7" t="inlineStr">
        <is>
          <t xml:space="preserve">1/10 foreman 1 helper, 1 operator </t>
        </is>
      </c>
      <c r="D106" s="7" t="inlineStr">
        <is>
          <t>Hoe</t>
        </is>
      </c>
      <c r="E106" s="7" t="inlineStr">
        <is>
          <t>01 rock excavation using hydraulic excavator</t>
        </is>
      </c>
      <c r="F106" s="7" t="n"/>
      <c r="G106" s="7" t="inlineStr">
        <is>
          <t>rock</t>
        </is>
      </c>
      <c r="H106" s="7" t="n">
        <v>0.98</v>
      </c>
      <c r="I106" s="7" t="n">
        <v>0.98</v>
      </c>
      <c r="J106" s="7" t="n">
        <v>0.63</v>
      </c>
      <c r="K106" s="7" t="n">
        <v>60</v>
      </c>
      <c r="L106" s="7" t="n"/>
      <c r="M106" s="7" t="n">
        <v>1</v>
      </c>
      <c r="N106" s="7" t="n">
        <v>19</v>
      </c>
      <c r="O106" s="7">
        <f>3600*M106*H106*I106*K106/(J106*N106*60)</f>
        <v/>
      </c>
      <c r="P106" s="7" t="n"/>
      <c r="Q106" s="7" t="n"/>
      <c r="R106" s="7" t="n"/>
      <c r="S106" s="7" t="n"/>
    </row>
    <row r="107">
      <c r="B107" s="8" t="n">
        <v>97</v>
      </c>
      <c r="C107" s="8" t="inlineStr">
        <is>
          <t xml:space="preserve">1/10 foreman 1 helper, 1 operator </t>
        </is>
      </c>
      <c r="D107" s="8" t="inlineStr">
        <is>
          <t>Hoe</t>
        </is>
      </c>
      <c r="E107" s="8" t="inlineStr">
        <is>
          <t>01 rock excavation using hydraulic excavator</t>
        </is>
      </c>
      <c r="F107" s="8" t="n"/>
      <c r="G107" s="8" t="inlineStr">
        <is>
          <t>rock</t>
        </is>
      </c>
      <c r="H107" s="8" t="n">
        <v>0.98</v>
      </c>
      <c r="I107" s="8" t="n">
        <v>0.98</v>
      </c>
      <c r="J107" s="8" t="n">
        <v>0.63</v>
      </c>
      <c r="K107" s="8" t="n">
        <v>60</v>
      </c>
      <c r="L107" s="8" t="n"/>
      <c r="M107" s="8" t="n">
        <v>1</v>
      </c>
      <c r="N107" s="8" t="n">
        <v>31</v>
      </c>
      <c r="O107" s="8">
        <f>3600*M107*H107*I107*K107/(J107*N107*60)</f>
        <v/>
      </c>
      <c r="P107" s="8" t="n"/>
      <c r="Q107" s="8" t="n"/>
      <c r="R107" s="8" t="n"/>
      <c r="S107" s="8" t="n"/>
    </row>
    <row r="108">
      <c r="B108" s="8" t="n">
        <v>98</v>
      </c>
      <c r="C108" s="8" t="inlineStr">
        <is>
          <t xml:space="preserve">1/10 foreman 1 helper, 1 operator </t>
        </is>
      </c>
      <c r="D108" s="8" t="inlineStr">
        <is>
          <t>Hoe</t>
        </is>
      </c>
      <c r="E108" s="8" t="inlineStr">
        <is>
          <t>01 rock excavation using hydraulic excavator</t>
        </is>
      </c>
      <c r="F108" s="8" t="n"/>
      <c r="G108" s="8" t="inlineStr">
        <is>
          <t>rock</t>
        </is>
      </c>
      <c r="H108" s="8" t="n">
        <v>0.98</v>
      </c>
      <c r="I108" s="8" t="n">
        <v>1</v>
      </c>
      <c r="J108" s="8" t="n">
        <v>0.63</v>
      </c>
      <c r="K108" s="8" t="n">
        <v>60</v>
      </c>
      <c r="L108" s="8" t="n"/>
      <c r="M108" s="8" t="n">
        <v>1</v>
      </c>
      <c r="N108" s="8" t="n">
        <v>26</v>
      </c>
      <c r="O108" s="8">
        <f>3600*M108*H108*I108*K108/(J108*N108*60)</f>
        <v/>
      </c>
      <c r="P108" s="8" t="n"/>
      <c r="Q108" s="8" t="n"/>
      <c r="R108" s="8" t="n"/>
      <c r="S108" s="8" t="n"/>
    </row>
    <row r="109">
      <c r="B109" s="8" t="n">
        <v>99</v>
      </c>
      <c r="C109" s="8" t="inlineStr">
        <is>
          <t xml:space="preserve">1/10 foreman 1 helper, 1 operator </t>
        </is>
      </c>
      <c r="D109" s="8" t="inlineStr">
        <is>
          <t>Hoe</t>
        </is>
      </c>
      <c r="E109" s="8" t="inlineStr">
        <is>
          <t>01 rock excavation using hydraulic excavator</t>
        </is>
      </c>
      <c r="F109" s="8" t="n"/>
      <c r="G109" s="8" t="inlineStr">
        <is>
          <t>rock</t>
        </is>
      </c>
      <c r="H109" s="8" t="n">
        <v>0.98</v>
      </c>
      <c r="I109" s="8" t="n">
        <v>0.98</v>
      </c>
      <c r="J109" s="8" t="n">
        <v>0.63</v>
      </c>
      <c r="K109" s="8" t="n">
        <v>60</v>
      </c>
      <c r="L109" s="8" t="n"/>
      <c r="M109" s="8" t="n">
        <v>1</v>
      </c>
      <c r="N109" s="8" t="n">
        <v>26</v>
      </c>
      <c r="O109" s="8">
        <f>3600*M109*H109*I109*K109/(J109*N109*60)</f>
        <v/>
      </c>
      <c r="P109" s="8" t="n"/>
      <c r="Q109" s="8" t="n"/>
      <c r="R109" s="8" t="n"/>
      <c r="S109" s="8" t="n"/>
    </row>
    <row r="110" ht="16.5" customHeight="1" thickBot="1">
      <c r="B110" s="9" t="n">
        <v>100</v>
      </c>
      <c r="C110" s="9" t="inlineStr">
        <is>
          <t xml:space="preserve">1/10 foreman 1 helper, 1 operator </t>
        </is>
      </c>
      <c r="D110" s="9" t="inlineStr">
        <is>
          <t>Hoe</t>
        </is>
      </c>
      <c r="E110" s="9" t="inlineStr">
        <is>
          <t>01 rock excavation using hydraulic excavator</t>
        </is>
      </c>
      <c r="F110" s="9" t="n"/>
      <c r="G110" s="9" t="inlineStr">
        <is>
          <t>rock</t>
        </is>
      </c>
      <c r="H110" s="9" t="n">
        <v>0.98</v>
      </c>
      <c r="I110" s="9" t="n">
        <v>0.98</v>
      </c>
      <c r="J110" s="9" t="n">
        <v>0.63</v>
      </c>
      <c r="K110" s="9" t="n">
        <v>60</v>
      </c>
      <c r="L110" s="9" t="n"/>
      <c r="M110" s="9" t="n">
        <v>1</v>
      </c>
      <c r="N110" s="9" t="n">
        <v>30</v>
      </c>
      <c r="O110" s="9">
        <f>3600*M110*H110*I110*K110/(J110*N110*60)</f>
        <v/>
      </c>
      <c r="P110" s="9" t="n"/>
      <c r="Q110" s="9" t="n"/>
      <c r="R110" s="9" t="n"/>
      <c r="S110" s="9" t="n"/>
    </row>
    <row r="111" customFormat="1" s="5">
      <c r="B111" s="56" t="inlineStr">
        <is>
          <t>Average</t>
        </is>
      </c>
      <c r="C111" s="61" t="n"/>
      <c r="D111" s="61" t="n"/>
      <c r="E111" s="61" t="n"/>
      <c r="F111" s="61" t="n"/>
      <c r="G111" s="61" t="n"/>
      <c r="H111" s="5">
        <f>AVERAGE(H11:H110)</f>
        <v/>
      </c>
      <c r="I111" s="5">
        <f>AVERAGE(I11:I110)</f>
        <v/>
      </c>
      <c r="J111" s="5">
        <f>AVERAGE(J11:J110)</f>
        <v/>
      </c>
      <c r="K111" s="5">
        <f>AVERAGE(K11:K110)</f>
        <v/>
      </c>
      <c r="M111" s="5">
        <f>AVERAGE(M11:M110)</f>
        <v/>
      </c>
      <c r="N111" s="5">
        <f>AVERAGE(N11:N110)</f>
        <v/>
      </c>
      <c r="O111" s="5">
        <f>AVERAGE(O11:O110)</f>
        <v/>
      </c>
    </row>
  </sheetData>
  <mergeCells count="21">
    <mergeCell ref="B111:G111"/>
    <mergeCell ref="B4:O4"/>
    <mergeCell ref="P9:P10"/>
    <mergeCell ref="B3:O3"/>
    <mergeCell ref="C9:C10"/>
    <mergeCell ref="E9:E10"/>
    <mergeCell ref="Q9:Q10"/>
    <mergeCell ref="B2:O2"/>
    <mergeCell ref="S9:S10"/>
    <mergeCell ref="G6:H6"/>
    <mergeCell ref="B1:O1"/>
    <mergeCell ref="B9:B10"/>
    <mergeCell ref="D9:D10"/>
    <mergeCell ref="H9:K9"/>
    <mergeCell ref="L9:L10"/>
    <mergeCell ref="F9:F10"/>
    <mergeCell ref="N9:N10"/>
    <mergeCell ref="R9:R10"/>
    <mergeCell ref="G9:G10"/>
    <mergeCell ref="M9:M10"/>
    <mergeCell ref="O9:O10"/>
  </mergeCells>
  <pageMargins left="0.2362204724409449" right="0.2362204724409449" top="0.7480314960629921" bottom="0.7480314960629921" header="0.3149606299212598" footer="0.3149606299212598"/>
  <pageSetup orientation="landscape" scale="4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19"/>
  <sheetViews>
    <sheetView view="pageBreakPreview" topLeftCell="A13" zoomScale="66" zoomScaleNormal="60" zoomScaleSheetLayoutView="55" zoomScalePageLayoutView="60" workbookViewId="0">
      <selection activeCell="F25" sqref="F25"/>
    </sheetView>
  </sheetViews>
  <sheetFormatPr baseColWidth="8" defaultColWidth="9.140625" defaultRowHeight="15.75"/>
  <cols>
    <col width="29.28515625" customWidth="1" style="16" min="1" max="1"/>
    <col width="15.7109375" customWidth="1" style="16" min="2" max="2"/>
    <col width="17.140625" customWidth="1" style="16" min="3" max="6"/>
    <col width="28.140625" customWidth="1" style="16" min="7" max="7"/>
    <col width="16.42578125" customWidth="1" style="16" min="8" max="9"/>
    <col width="28.28515625" customWidth="1" style="16" min="10" max="10"/>
    <col width="16.42578125" customWidth="1" style="16" min="11" max="13"/>
    <col width="32" customWidth="1" style="16" min="14" max="14"/>
    <col width="21.7109375" customWidth="1" style="16" min="15" max="15"/>
    <col width="21.42578125" customWidth="1" style="16" min="16" max="16"/>
    <col width="20" customWidth="1" style="16" min="17" max="17"/>
    <col width="19.85546875" customWidth="1" style="16" min="18" max="18"/>
    <col width="19.7109375" customWidth="1" style="16" min="19" max="19"/>
    <col width="16.42578125" customWidth="1" style="16" min="20" max="20"/>
    <col width="9.140625" customWidth="1" style="16" min="21" max="21"/>
    <col width="17.28515625" bestFit="1" customWidth="1" style="16" min="22" max="22"/>
    <col width="18.140625" customWidth="1" style="16" min="23" max="23"/>
    <col width="11.140625" bestFit="1" customWidth="1" style="16" min="24" max="24"/>
    <col width="12" customWidth="1" style="16" min="25" max="25"/>
    <col width="20.42578125" customWidth="1" style="16" min="26" max="26"/>
    <col width="12" customWidth="1" style="16" min="27" max="27"/>
    <col width="9.140625" customWidth="1" style="16" min="28" max="16384"/>
  </cols>
  <sheetData>
    <row r="1" ht="27" customHeight="1">
      <c r="A1" s="44" t="inlineStr">
        <is>
          <t xml:space="preserve">Construction Management Institute </t>
        </is>
      </c>
      <c r="N1" s="44" t="n"/>
    </row>
    <row r="2" ht="27" customHeight="1">
      <c r="A2" s="44" t="inlineStr">
        <is>
          <t xml:space="preserve"> PREPARATION OF NATIONAL PRODUCTIVITY NORM FOR WATER CONSTRUCTION TRADE</t>
        </is>
      </c>
      <c r="N2" s="44" t="n"/>
    </row>
    <row r="3" ht="27" customHeight="1">
      <c r="A3" s="45" t="inlineStr">
        <is>
          <t xml:space="preserve">MPDM Data Collection Form </t>
        </is>
      </c>
      <c r="N3" s="45" t="n"/>
    </row>
    <row r="4">
      <c r="A4" s="45" t="inlineStr">
        <is>
          <t>Form -3</t>
        </is>
      </c>
      <c r="N4" s="45" t="n"/>
    </row>
    <row r="5" ht="16.5" customHeight="1" thickBot="1"/>
    <row r="6" ht="27" customHeight="1" thickBot="1">
      <c r="A6" s="17" t="inlineStr">
        <is>
          <t>Project Code:</t>
        </is>
      </c>
      <c r="B6" s="62" t="n"/>
      <c r="C6" s="57" t="n"/>
      <c r="F6" s="19" t="inlineStr">
        <is>
          <t>Date:</t>
        </is>
      </c>
      <c r="G6" s="53" t="n">
        <v>1</v>
      </c>
    </row>
    <row r="7" ht="27" customHeight="1" thickBot="1"/>
    <row r="8" ht="27" customHeight="1" thickBot="1">
      <c r="A8" s="17" t="inlineStr">
        <is>
          <t>Operation/Activity:</t>
        </is>
      </c>
      <c r="B8" s="62" t="n"/>
      <c r="C8" s="57" t="n"/>
      <c r="F8" s="19" t="inlineStr">
        <is>
          <t>Unit of Time:</t>
        </is>
      </c>
      <c r="G8" s="53" t="inlineStr">
        <is>
          <t>Seconds</t>
        </is>
      </c>
    </row>
    <row r="9" ht="27" customHeight="1" thickBot="1">
      <c r="A9" s="17" t="inlineStr">
        <is>
          <t>Equipment Type:</t>
        </is>
      </c>
      <c r="B9" s="62" t="n"/>
      <c r="C9" s="57" t="n"/>
    </row>
    <row r="10" ht="15" customHeight="1" thickBot="1">
      <c r="A10" s="20" t="n"/>
      <c r="B10" s="20" t="n"/>
    </row>
    <row r="11" ht="32.25" customHeight="1" thickBot="1">
      <c r="A11" s="58" t="inlineStr">
        <is>
          <t>Production Cycle Number</t>
        </is>
      </c>
      <c r="B11" s="58" t="inlineStr">
        <is>
          <t>Cycle Time (Seconds)</t>
        </is>
      </c>
      <c r="C11" s="58" t="inlineStr">
        <is>
          <t>Delay (Insert Delay us 1 or if more than one delay event a proportion of the delay). Leave zero values as BLANK</t>
        </is>
      </c>
      <c r="D11" s="59" t="n"/>
      <c r="E11" s="59" t="n"/>
      <c r="F11" s="59" t="n"/>
      <c r="G11" s="59" t="n"/>
      <c r="H11" s="57" t="n"/>
      <c r="I11" s="51" t="n"/>
      <c r="J11" s="51" t="n"/>
      <c r="K11" s="51" t="n"/>
      <c r="L11" s="51" t="n"/>
      <c r="M11" s="21" t="n"/>
      <c r="O11" s="58" t="inlineStr">
        <is>
          <t>Delay (Time)</t>
        </is>
      </c>
      <c r="P11" s="59" t="n"/>
      <c r="Q11" s="59" t="n"/>
      <c r="R11" s="59" t="n"/>
      <c r="S11" s="59" t="n"/>
      <c r="T11" s="57" t="n"/>
      <c r="V11" s="58" t="inlineStr">
        <is>
          <t>Delay (Time)</t>
        </is>
      </c>
      <c r="W11" s="59" t="n"/>
      <c r="X11" s="59" t="n"/>
      <c r="Y11" s="59" t="n"/>
      <c r="Z11" s="59" t="n"/>
      <c r="AA11" s="57" t="n"/>
    </row>
    <row r="12" ht="42.75" customHeight="1" thickBot="1">
      <c r="A12" s="60" t="n"/>
      <c r="B12" s="60" t="n"/>
      <c r="C12" s="6" t="inlineStr">
        <is>
          <t>Enviroment</t>
        </is>
      </c>
      <c r="D12" s="6" t="inlineStr">
        <is>
          <t>Equipment</t>
        </is>
      </c>
      <c r="E12" s="6" t="inlineStr">
        <is>
          <t>Labour</t>
        </is>
      </c>
      <c r="F12" s="6" t="inlineStr">
        <is>
          <t xml:space="preserve">Material </t>
        </is>
      </c>
      <c r="G12" s="6" t="inlineStr">
        <is>
          <t>Management</t>
        </is>
      </c>
      <c r="H12" s="6" t="inlineStr">
        <is>
          <t>Others</t>
        </is>
      </c>
      <c r="I12" s="6" t="inlineStr">
        <is>
          <t xml:space="preserve">Sum Delay </t>
        </is>
      </c>
      <c r="J12" s="6" t="inlineStr">
        <is>
          <t xml:space="preserve">Non Delay Cycle </t>
        </is>
      </c>
      <c r="K12" s="6" t="inlineStr">
        <is>
          <t xml:space="preserve">Delay Cycle </t>
        </is>
      </c>
      <c r="L12" s="6" t="inlineStr">
        <is>
          <t>Processing Column</t>
        </is>
      </c>
      <c r="M12" s="6" t="inlineStr">
        <is>
          <t>Processing Column ND</t>
        </is>
      </c>
      <c r="O12" s="6" t="inlineStr">
        <is>
          <t>Enviroment</t>
        </is>
      </c>
      <c r="P12" s="6" t="inlineStr">
        <is>
          <t>Equipment</t>
        </is>
      </c>
      <c r="Q12" s="6" t="inlineStr">
        <is>
          <t>Labour</t>
        </is>
      </c>
      <c r="R12" s="6" t="inlineStr">
        <is>
          <t xml:space="preserve">Material </t>
        </is>
      </c>
      <c r="S12" s="6" t="inlineStr">
        <is>
          <t>Management</t>
        </is>
      </c>
      <c r="T12" s="6" t="inlineStr">
        <is>
          <t>Others</t>
        </is>
      </c>
      <c r="V12" s="6" t="inlineStr">
        <is>
          <t>Enviroment</t>
        </is>
      </c>
      <c r="W12" s="6" t="inlineStr">
        <is>
          <t>Equipment</t>
        </is>
      </c>
      <c r="X12" s="6" t="inlineStr">
        <is>
          <t>Labour</t>
        </is>
      </c>
      <c r="Y12" s="6" t="inlineStr">
        <is>
          <t xml:space="preserve">Material </t>
        </is>
      </c>
      <c r="Z12" s="6" t="inlineStr">
        <is>
          <t>Management</t>
        </is>
      </c>
      <c r="AA12" s="6" t="inlineStr">
        <is>
          <t>Others</t>
        </is>
      </c>
    </row>
    <row r="13" ht="33" customHeight="1">
      <c r="A13" s="22" t="n">
        <v>1</v>
      </c>
      <c r="B13" s="23" t="n">
        <v>1823</v>
      </c>
      <c r="C13" s="54">
        <f>IF(SUM($V13:$AA13), ROUND(V13/SUM($V13:$AA13), 2),0)</f>
        <v/>
      </c>
      <c r="D13" s="54">
        <f>IF(SUM($V13:$AA13), ROUND(W13/SUM($V13:$AA13), 2),0)</f>
        <v/>
      </c>
      <c r="E13" s="54">
        <f>IF(SUM($V13:$AA13), ROUND(X13/SUM($V13:$AA13), 2),0)</f>
        <v/>
      </c>
      <c r="F13" s="54">
        <f>IF(SUM($V13:$AA13), ROUND(Y13/SUM($V13:$AA13), 2),0)</f>
        <v/>
      </c>
      <c r="G13" s="54">
        <f>IF(SUM($V13:$AA13), ROUND(Z13/SUM($V13:$AA13), 2),0)</f>
        <v/>
      </c>
      <c r="H13" s="54">
        <f>IF(SUM($V13:$AA13), ROUND(AA13/SUM($V13:$AA13), 2),0)</f>
        <v/>
      </c>
      <c r="I13" s="24">
        <f>SUM(C13:H13)</f>
        <v/>
      </c>
      <c r="J13" s="24">
        <f>IF(I13&gt;0,0,B13)</f>
        <v/>
      </c>
      <c r="K13" s="24">
        <f>IF(I13&gt;0,B13,0)</f>
        <v/>
      </c>
      <c r="L13" s="25">
        <f>IF(B13&gt;0,(ABS(B13-$J$115)),0)</f>
        <v/>
      </c>
      <c r="M13" s="25">
        <f>IF(I13&gt;0,0,L13)</f>
        <v/>
      </c>
      <c r="O13" s="25">
        <f>C13*$L13</f>
        <v/>
      </c>
      <c r="P13" s="25">
        <f>D13*$L13</f>
        <v/>
      </c>
      <c r="Q13" s="25">
        <f>E13*$L13</f>
        <v/>
      </c>
      <c r="R13" s="25">
        <f>F13*$L13</f>
        <v/>
      </c>
      <c r="S13" s="25">
        <f>G13*$L13</f>
        <v/>
      </c>
      <c r="T13" s="25">
        <f>H13*$L13</f>
        <v/>
      </c>
      <c r="V13" s="25" t="n"/>
      <c r="W13" s="25" t="n"/>
      <c r="X13" s="25" t="n"/>
      <c r="Y13" s="25" t="n"/>
      <c r="Z13" s="25" t="n">
        <v>1800</v>
      </c>
      <c r="AA13" s="25" t="n"/>
    </row>
    <row r="14" ht="33" customHeight="1">
      <c r="A14" s="22" t="n">
        <v>2</v>
      </c>
      <c r="B14" s="26" t="n">
        <v>26</v>
      </c>
      <c r="C14" s="54">
        <f>IF(SUM($V14:$AA14), ROUND(V14/SUM($V14:$AA14), 2),0)</f>
        <v/>
      </c>
      <c r="D14" s="54">
        <f>IF(SUM($V14:$AA14), ROUND(W14/SUM($V14:$AA14), 2),0)</f>
        <v/>
      </c>
      <c r="E14" s="54">
        <f>IF(SUM($V14:$AA14), ROUND(X14/SUM($V14:$AA14), 2),0)</f>
        <v/>
      </c>
      <c r="F14" s="54">
        <f>IF(SUM($V14:$AA14), ROUND(Y14/SUM($V14:$AA14), 2),0)</f>
        <v/>
      </c>
      <c r="G14" s="54">
        <f>IF(SUM($V14:$AA14), ROUND(Z14/SUM($V14:$AA14), 2),0)</f>
        <v/>
      </c>
      <c r="H14" s="54">
        <f>IF(SUM($V14:$AA14), ROUND(AA14/SUM($V14:$AA14), 2),0)</f>
        <v/>
      </c>
      <c r="I14" s="24">
        <f>SUM(C14:H14)</f>
        <v/>
      </c>
      <c r="J14" s="24">
        <f>IF(I14&gt;0,0,B14)</f>
        <v/>
      </c>
      <c r="K14" s="24">
        <f>IF(I14&gt;0,B14,0)</f>
        <v/>
      </c>
      <c r="L14" s="25">
        <f>IF(B14&gt;0,(ABS(B14-$J$115)),0)</f>
        <v/>
      </c>
      <c r="M14" s="25">
        <f>IF(I14&gt;0,0,L14)</f>
        <v/>
      </c>
      <c r="O14" s="25">
        <f>C14*$L14</f>
        <v/>
      </c>
      <c r="P14" s="25">
        <f>D14*$L14</f>
        <v/>
      </c>
      <c r="Q14" s="25">
        <f>E14*$L14</f>
        <v/>
      </c>
      <c r="R14" s="25">
        <f>F14*$L14</f>
        <v/>
      </c>
      <c r="S14" s="25">
        <f>G14*$L14</f>
        <v/>
      </c>
      <c r="T14" s="25">
        <f>H14*$L14</f>
        <v/>
      </c>
      <c r="V14" s="25" t="n"/>
      <c r="W14" s="25" t="n"/>
      <c r="X14" s="25" t="n"/>
      <c r="Y14" s="25" t="n"/>
      <c r="Z14" s="25" t="n"/>
      <c r="AA14" s="25" t="n"/>
    </row>
    <row r="15" ht="33" customHeight="1">
      <c r="A15" s="22" t="n">
        <v>3</v>
      </c>
      <c r="B15" s="26" t="n">
        <v>22</v>
      </c>
      <c r="C15" s="54">
        <f>IF(SUM($V15:$AA15), ROUND(V15/SUM($V15:$AA15), 2),0)</f>
        <v/>
      </c>
      <c r="D15" s="54">
        <f>IF(SUM($V15:$AA15), ROUND(W15/SUM($V15:$AA15), 2),0)</f>
        <v/>
      </c>
      <c r="E15" s="54">
        <f>IF(SUM($V15:$AA15), ROUND(X15/SUM($V15:$AA15), 2),0)</f>
        <v/>
      </c>
      <c r="F15" s="54">
        <f>IF(SUM($V15:$AA15), ROUND(Y15/SUM($V15:$AA15), 2),0)</f>
        <v/>
      </c>
      <c r="G15" s="54">
        <f>IF(SUM($V15:$AA15), ROUND(Z15/SUM($V15:$AA15), 2),0)</f>
        <v/>
      </c>
      <c r="H15" s="54">
        <f>IF(SUM($V15:$AA15), ROUND(AA15/SUM($V15:$AA15), 2),0)</f>
        <v/>
      </c>
      <c r="I15" s="24">
        <f>SUM(C15:H15)</f>
        <v/>
      </c>
      <c r="J15" s="24">
        <f>IF(I15&gt;0,0,B15)</f>
        <v/>
      </c>
      <c r="K15" s="24">
        <f>IF(I15&gt;0,B15,0)</f>
        <v/>
      </c>
      <c r="L15" s="25">
        <f>IF(B15&gt;0,(ABS(B15-$J$115)),0)</f>
        <v/>
      </c>
      <c r="M15" s="25">
        <f>IF(I15&gt;0,0,L15)</f>
        <v/>
      </c>
      <c r="O15" s="25">
        <f>C15*$L15</f>
        <v/>
      </c>
      <c r="P15" s="25">
        <f>D15*$L15</f>
        <v/>
      </c>
      <c r="Q15" s="25">
        <f>E15*$L15</f>
        <v/>
      </c>
      <c r="R15" s="25">
        <f>F15*$L15</f>
        <v/>
      </c>
      <c r="S15" s="25">
        <f>G15*$L15</f>
        <v/>
      </c>
      <c r="T15" s="25">
        <f>H15*$L15</f>
        <v/>
      </c>
      <c r="V15" s="25" t="n"/>
      <c r="W15" s="25" t="n"/>
      <c r="X15" s="25" t="n"/>
      <c r="Y15" s="25" t="n"/>
      <c r="Z15" s="25" t="n"/>
      <c r="AA15" s="25" t="n"/>
    </row>
    <row r="16" ht="33" customHeight="1">
      <c r="A16" s="22" t="n">
        <v>4</v>
      </c>
      <c r="B16" s="26" t="n">
        <v>23</v>
      </c>
      <c r="C16" s="54">
        <f>IF(SUM($V16:$AA16), ROUND(V16/SUM($V16:$AA16), 2),0)</f>
        <v/>
      </c>
      <c r="D16" s="54">
        <f>IF(SUM($V16:$AA16), ROUND(W16/SUM($V16:$AA16), 2),0)</f>
        <v/>
      </c>
      <c r="E16" s="54">
        <f>IF(SUM($V16:$AA16), ROUND(X16/SUM($V16:$AA16), 2),0)</f>
        <v/>
      </c>
      <c r="F16" s="54">
        <f>IF(SUM($V16:$AA16), ROUND(Y16/SUM($V16:$AA16), 2),0)</f>
        <v/>
      </c>
      <c r="G16" s="54">
        <f>IF(SUM($V16:$AA16), ROUND(Z16/SUM($V16:$AA16), 2),0)</f>
        <v/>
      </c>
      <c r="H16" s="54">
        <f>IF(SUM($V16:$AA16), ROUND(AA16/SUM($V16:$AA16), 2),0)</f>
        <v/>
      </c>
      <c r="I16" s="24">
        <f>SUM(C16:H16)</f>
        <v/>
      </c>
      <c r="J16" s="24">
        <f>IF(I16&gt;0,0,B16)</f>
        <v/>
      </c>
      <c r="K16" s="24">
        <f>IF(I16&gt;0,B16,0)</f>
        <v/>
      </c>
      <c r="L16" s="25">
        <f>IF(B16&gt;0,(ABS(B16-$J$115)),0)</f>
        <v/>
      </c>
      <c r="M16" s="25">
        <f>IF(I16&gt;0,0,L16)</f>
        <v/>
      </c>
      <c r="O16" s="25">
        <f>C16*$L16</f>
        <v/>
      </c>
      <c r="P16" s="25">
        <f>D16*$L16</f>
        <v/>
      </c>
      <c r="Q16" s="25">
        <f>E16*$L16</f>
        <v/>
      </c>
      <c r="R16" s="25">
        <f>F16*$L16</f>
        <v/>
      </c>
      <c r="S16" s="25">
        <f>G16*$L16</f>
        <v/>
      </c>
      <c r="T16" s="25">
        <f>H16*$L16</f>
        <v/>
      </c>
      <c r="V16" s="25" t="n"/>
      <c r="W16" s="25" t="n"/>
      <c r="X16" s="25" t="n"/>
      <c r="Y16" s="25" t="n"/>
      <c r="Z16" s="25" t="n"/>
      <c r="AA16" s="25" t="n"/>
    </row>
    <row r="17" ht="33" customHeight="1">
      <c r="A17" s="22" t="n">
        <v>5</v>
      </c>
      <c r="B17" s="26" t="n">
        <v>19</v>
      </c>
      <c r="C17" s="54">
        <f>IF(SUM($V17:$AA17), ROUND(V17/SUM($V17:$AA17), 2),0)</f>
        <v/>
      </c>
      <c r="D17" s="54">
        <f>IF(SUM($V17:$AA17), ROUND(W17/SUM($V17:$AA17), 2),0)</f>
        <v/>
      </c>
      <c r="E17" s="54">
        <f>IF(SUM($V17:$AA17), ROUND(X17/SUM($V17:$AA17), 2),0)</f>
        <v/>
      </c>
      <c r="F17" s="54">
        <f>IF(SUM($V17:$AA17), ROUND(Y17/SUM($V17:$AA17), 2),0)</f>
        <v/>
      </c>
      <c r="G17" s="54">
        <f>IF(SUM($V17:$AA17), ROUND(Z17/SUM($V17:$AA17), 2),0)</f>
        <v/>
      </c>
      <c r="H17" s="54">
        <f>IF(SUM($V17:$AA17), ROUND(AA17/SUM($V17:$AA17), 2),0)</f>
        <v/>
      </c>
      <c r="I17" s="24">
        <f>SUM(C17:H17)</f>
        <v/>
      </c>
      <c r="J17" s="24">
        <f>IF(I17&gt;0,0,B17)</f>
        <v/>
      </c>
      <c r="K17" s="24">
        <f>IF(I17&gt;0,B17,0)</f>
        <v/>
      </c>
      <c r="L17" s="25">
        <f>IF(B17&gt;0,(ABS(B17-$J$115)),0)</f>
        <v/>
      </c>
      <c r="M17" s="25">
        <f>IF(I17&gt;0,0,L17)</f>
        <v/>
      </c>
      <c r="O17" s="25">
        <f>C17*$L17</f>
        <v/>
      </c>
      <c r="P17" s="25">
        <f>D17*$L17</f>
        <v/>
      </c>
      <c r="Q17" s="25">
        <f>E17*$L17</f>
        <v/>
      </c>
      <c r="R17" s="25">
        <f>F17*$L17</f>
        <v/>
      </c>
      <c r="S17" s="25">
        <f>G17*$L17</f>
        <v/>
      </c>
      <c r="T17" s="25">
        <f>H17*$L17</f>
        <v/>
      </c>
      <c r="V17" s="25" t="n"/>
      <c r="W17" s="25" t="n"/>
      <c r="X17" s="25" t="n"/>
      <c r="Y17" s="25" t="n"/>
      <c r="Z17" s="25" t="n"/>
      <c r="AA17" s="25" t="n"/>
    </row>
    <row r="18" ht="33" customHeight="1">
      <c r="A18" s="22" t="n">
        <v>6</v>
      </c>
      <c r="B18" s="26" t="n">
        <v>28</v>
      </c>
      <c r="C18" s="54">
        <f>IF(SUM($V18:$AA18), ROUND(V18/SUM($V18:$AA18), 2),0)</f>
        <v/>
      </c>
      <c r="D18" s="54">
        <f>IF(SUM($V18:$AA18), ROUND(W18/SUM($V18:$AA18), 2),0)</f>
        <v/>
      </c>
      <c r="E18" s="54">
        <f>IF(SUM($V18:$AA18), ROUND(X18/SUM($V18:$AA18), 2),0)</f>
        <v/>
      </c>
      <c r="F18" s="54">
        <f>IF(SUM($V18:$AA18), ROUND(Y18/SUM($V18:$AA18), 2),0)</f>
        <v/>
      </c>
      <c r="G18" s="54">
        <f>IF(SUM($V18:$AA18), ROUND(Z18/SUM($V18:$AA18), 2),0)</f>
        <v/>
      </c>
      <c r="H18" s="54">
        <f>IF(SUM($V18:$AA18), ROUND(AA18/SUM($V18:$AA18), 2),0)</f>
        <v/>
      </c>
      <c r="I18" s="24">
        <f>SUM(C18:H18)</f>
        <v/>
      </c>
      <c r="J18" s="24">
        <f>IF(I18&gt;0,0,B18)</f>
        <v/>
      </c>
      <c r="K18" s="24">
        <f>IF(I18&gt;0,B18,0)</f>
        <v/>
      </c>
      <c r="L18" s="25">
        <f>IF(B18&gt;0,(ABS(B18-$J$115)),0)</f>
        <v/>
      </c>
      <c r="M18" s="25">
        <f>IF(I18&gt;0,0,L18)</f>
        <v/>
      </c>
      <c r="O18" s="25">
        <f>C18*$L18</f>
        <v/>
      </c>
      <c r="P18" s="25">
        <f>D18*$L18</f>
        <v/>
      </c>
      <c r="Q18" s="25">
        <f>E18*$L18</f>
        <v/>
      </c>
      <c r="R18" s="25">
        <f>F18*$L18</f>
        <v/>
      </c>
      <c r="S18" s="25">
        <f>G18*$L18</f>
        <v/>
      </c>
      <c r="T18" s="25">
        <f>H18*$L18</f>
        <v/>
      </c>
      <c r="V18" s="25" t="n"/>
      <c r="W18" s="25" t="n"/>
      <c r="X18" s="25" t="n"/>
      <c r="Y18" s="25" t="n"/>
      <c r="Z18" s="25" t="n"/>
      <c r="AA18" s="25" t="n"/>
    </row>
    <row r="19" ht="33" customHeight="1">
      <c r="A19" s="22" t="n">
        <v>7</v>
      </c>
      <c r="B19" s="26" t="n">
        <v>25</v>
      </c>
      <c r="C19" s="54">
        <f>IF(SUM($V19:$AA19), ROUND(V19/SUM($V19:$AA19), 2),0)</f>
        <v/>
      </c>
      <c r="D19" s="54">
        <f>IF(SUM($V19:$AA19), ROUND(W19/SUM($V19:$AA19), 2),0)</f>
        <v/>
      </c>
      <c r="E19" s="54">
        <f>IF(SUM($V19:$AA19), ROUND(X19/SUM($V19:$AA19), 2),0)</f>
        <v/>
      </c>
      <c r="F19" s="54">
        <f>IF(SUM($V19:$AA19), ROUND(Y19/SUM($V19:$AA19), 2),0)</f>
        <v/>
      </c>
      <c r="G19" s="54">
        <f>IF(SUM($V19:$AA19), ROUND(Z19/SUM($V19:$AA19), 2),0)</f>
        <v/>
      </c>
      <c r="H19" s="54">
        <f>IF(SUM($V19:$AA19), ROUND(AA19/SUM($V19:$AA19), 2),0)</f>
        <v/>
      </c>
      <c r="I19" s="24">
        <f>SUM(C19:H19)</f>
        <v/>
      </c>
      <c r="J19" s="24">
        <f>IF(I19&gt;0,0,B19)</f>
        <v/>
      </c>
      <c r="K19" s="24">
        <f>IF(I19&gt;0,B19,0)</f>
        <v/>
      </c>
      <c r="L19" s="25">
        <f>IF(B19&gt;0,(ABS(B19-$J$115)),0)</f>
        <v/>
      </c>
      <c r="M19" s="25">
        <f>IF(I19&gt;0,0,L19)</f>
        <v/>
      </c>
      <c r="O19" s="25">
        <f>C19*$L19</f>
        <v/>
      </c>
      <c r="P19" s="25">
        <f>D19*$L19</f>
        <v/>
      </c>
      <c r="Q19" s="25">
        <f>E19*$L19</f>
        <v/>
      </c>
      <c r="R19" s="25">
        <f>F19*$L19</f>
        <v/>
      </c>
      <c r="S19" s="25">
        <f>G19*$L19</f>
        <v/>
      </c>
      <c r="T19" s="25">
        <f>H19*$L19</f>
        <v/>
      </c>
      <c r="V19" s="25" t="n"/>
      <c r="W19" s="25" t="n"/>
      <c r="X19" s="25" t="n"/>
      <c r="Y19" s="25" t="n"/>
      <c r="Z19" s="25" t="n"/>
      <c r="AA19" s="25" t="n"/>
    </row>
    <row r="20" ht="33" customHeight="1">
      <c r="A20" s="22" t="n">
        <v>8</v>
      </c>
      <c r="B20" s="26" t="n">
        <v>28</v>
      </c>
      <c r="C20" s="54">
        <f>IF(SUM($V20:$AA20), ROUND(V20/SUM($V20:$AA20), 2),0)</f>
        <v/>
      </c>
      <c r="D20" s="54">
        <f>IF(SUM($V20:$AA20), ROUND(W20/SUM($V20:$AA20), 2),0)</f>
        <v/>
      </c>
      <c r="E20" s="54">
        <f>IF(SUM($V20:$AA20), ROUND(X20/SUM($V20:$AA20), 2),0)</f>
        <v/>
      </c>
      <c r="F20" s="54">
        <f>IF(SUM($V20:$AA20), ROUND(Y20/SUM($V20:$AA20), 2),0)</f>
        <v/>
      </c>
      <c r="G20" s="54">
        <f>IF(SUM($V20:$AA20), ROUND(Z20/SUM($V20:$AA20), 2),0)</f>
        <v/>
      </c>
      <c r="H20" s="54">
        <f>IF(SUM($V20:$AA20), ROUND(AA20/SUM($V20:$AA20), 2),0)</f>
        <v/>
      </c>
      <c r="I20" s="24">
        <f>SUM(C20:H20)</f>
        <v/>
      </c>
      <c r="J20" s="24">
        <f>IF(I20&gt;0,0,B20)</f>
        <v/>
      </c>
      <c r="K20" s="24">
        <f>IF(I20&gt;0,B20,0)</f>
        <v/>
      </c>
      <c r="L20" s="25">
        <f>IF(B20&gt;0,(ABS(B20-$J$115)),0)</f>
        <v/>
      </c>
      <c r="M20" s="25">
        <f>IF(I20&gt;0,0,L20)</f>
        <v/>
      </c>
      <c r="O20" s="25">
        <f>C20*$L20</f>
        <v/>
      </c>
      <c r="P20" s="25">
        <f>D20*$L20</f>
        <v/>
      </c>
      <c r="Q20" s="25">
        <f>E20*$L20</f>
        <v/>
      </c>
      <c r="R20" s="25">
        <f>F20*$L20</f>
        <v/>
      </c>
      <c r="S20" s="25">
        <f>G20*$L20</f>
        <v/>
      </c>
      <c r="T20" s="25">
        <f>H20*$L20</f>
        <v/>
      </c>
      <c r="V20" s="25" t="n"/>
      <c r="W20" s="25" t="n"/>
      <c r="X20" s="25" t="n"/>
      <c r="Y20" s="25" t="n"/>
      <c r="Z20" s="25" t="n"/>
      <c r="AA20" s="25" t="n"/>
    </row>
    <row r="21" ht="33" customHeight="1">
      <c r="A21" s="22" t="n">
        <v>9</v>
      </c>
      <c r="B21" s="26" t="n">
        <v>42</v>
      </c>
      <c r="C21" s="54">
        <f>IF(SUM($V21:$AA21), ROUND(V21/SUM($V21:$AA21), 2),0)</f>
        <v/>
      </c>
      <c r="D21" s="54">
        <f>IF(SUM($V21:$AA21), ROUND(W21/SUM($V21:$AA21), 2),0)</f>
        <v/>
      </c>
      <c r="E21" s="54">
        <f>IF(SUM($V21:$AA21), ROUND(X21/SUM($V21:$AA21), 2),0)</f>
        <v/>
      </c>
      <c r="F21" s="54">
        <f>IF(SUM($V21:$AA21), ROUND(Y21/SUM($V21:$AA21), 2),0)</f>
        <v/>
      </c>
      <c r="G21" s="54">
        <f>IF(SUM($V21:$AA21), ROUND(Z21/SUM($V21:$AA21), 2),0)</f>
        <v/>
      </c>
      <c r="H21" s="54">
        <f>IF(SUM($V21:$AA21), ROUND(AA21/SUM($V21:$AA21), 2),0)</f>
        <v/>
      </c>
      <c r="I21" s="24">
        <f>SUM(C21:H21)</f>
        <v/>
      </c>
      <c r="J21" s="24">
        <f>IF(I21&gt;0,0,B21)</f>
        <v/>
      </c>
      <c r="K21" s="24">
        <f>IF(I21&gt;0,B21,0)</f>
        <v/>
      </c>
      <c r="L21" s="25">
        <f>IF(B21&gt;0,(ABS(B21-$J$115)),0)</f>
        <v/>
      </c>
      <c r="M21" s="25">
        <f>IF(I21&gt;0,0,L21)</f>
        <v/>
      </c>
      <c r="O21" s="25">
        <f>C21*$L21</f>
        <v/>
      </c>
      <c r="P21" s="25">
        <f>D21*$L21</f>
        <v/>
      </c>
      <c r="Q21" s="25">
        <f>E21*$L21</f>
        <v/>
      </c>
      <c r="R21" s="25">
        <f>F21*$L21</f>
        <v/>
      </c>
      <c r="S21" s="25">
        <f>G21*$L21</f>
        <v/>
      </c>
      <c r="T21" s="25">
        <f>H21*$L21</f>
        <v/>
      </c>
      <c r="V21" s="25" t="n"/>
      <c r="W21" s="25" t="n"/>
      <c r="X21" s="25" t="n"/>
      <c r="Y21" s="25" t="n"/>
      <c r="Z21" s="25" t="n"/>
      <c r="AA21" s="25" t="n"/>
    </row>
    <row r="22" ht="33" customHeight="1">
      <c r="A22" s="22" t="n">
        <v>10</v>
      </c>
      <c r="B22" s="26" t="n">
        <v>15</v>
      </c>
      <c r="C22" s="54">
        <f>IF(SUM($V22:$AA22), ROUND(V22/SUM($V22:$AA22), 2),0)</f>
        <v/>
      </c>
      <c r="D22" s="54">
        <f>IF(SUM($V22:$AA22), ROUND(W22/SUM($V22:$AA22), 2),0)</f>
        <v/>
      </c>
      <c r="E22" s="54">
        <f>IF(SUM($V22:$AA22), ROUND(X22/SUM($V22:$AA22), 2),0)</f>
        <v/>
      </c>
      <c r="F22" s="54">
        <f>IF(SUM($V22:$AA22), ROUND(Y22/SUM($V22:$AA22), 2),0)</f>
        <v/>
      </c>
      <c r="G22" s="54">
        <f>IF(SUM($V22:$AA22), ROUND(Z22/SUM($V22:$AA22), 2),0)</f>
        <v/>
      </c>
      <c r="H22" s="54">
        <f>IF(SUM($V22:$AA22), ROUND(AA22/SUM($V22:$AA22), 2),0)</f>
        <v/>
      </c>
      <c r="I22" s="24">
        <f>SUM(C22:H22)</f>
        <v/>
      </c>
      <c r="J22" s="24">
        <f>IF(I22&gt;0,0,B22)</f>
        <v/>
      </c>
      <c r="K22" s="24">
        <f>IF(I22&gt;0,B22,0)</f>
        <v/>
      </c>
      <c r="L22" s="25">
        <f>IF(B22&gt;0,(ABS(B22-$J$115)),0)</f>
        <v/>
      </c>
      <c r="M22" s="25">
        <f>IF(I22&gt;0,0,L22)</f>
        <v/>
      </c>
      <c r="O22" s="25">
        <f>C22*$L22</f>
        <v/>
      </c>
      <c r="P22" s="25">
        <f>D22*$L22</f>
        <v/>
      </c>
      <c r="Q22" s="25">
        <f>E22*$L22</f>
        <v/>
      </c>
      <c r="R22" s="25">
        <f>F22*$L22</f>
        <v/>
      </c>
      <c r="S22" s="25">
        <f>G22*$L22</f>
        <v/>
      </c>
      <c r="T22" s="25">
        <f>H22*$L22</f>
        <v/>
      </c>
      <c r="V22" s="25" t="n"/>
      <c r="W22" s="25" t="n"/>
      <c r="X22" s="25" t="n"/>
      <c r="Y22" s="25" t="n"/>
      <c r="Z22" s="25" t="n"/>
      <c r="AA22" s="25" t="n"/>
    </row>
    <row r="23" ht="33" customHeight="1">
      <c r="A23" s="22" t="n">
        <v>11</v>
      </c>
      <c r="B23" s="26" t="n">
        <v>65</v>
      </c>
      <c r="C23" s="54">
        <f>IF(SUM($V23:$AA23), ROUND(V23/SUM($V23:$AA23), 2),0)</f>
        <v/>
      </c>
      <c r="D23" s="54">
        <f>IF(SUM($V23:$AA23), ROUND(W23/SUM($V23:$AA23), 2),0)</f>
        <v/>
      </c>
      <c r="E23" s="54">
        <f>IF(SUM($V23:$AA23), ROUND(X23/SUM($V23:$AA23), 2),0)</f>
        <v/>
      </c>
      <c r="F23" s="54">
        <f>IF(SUM($V23:$AA23), ROUND(Y23/SUM($V23:$AA23), 2),0)</f>
        <v/>
      </c>
      <c r="G23" s="54">
        <f>IF(SUM($V23:$AA23), ROUND(Z23/SUM($V23:$AA23), 2),0)</f>
        <v/>
      </c>
      <c r="H23" s="54">
        <f>IF(SUM($V23:$AA23), ROUND(AA23/SUM($V23:$AA23), 2),0)</f>
        <v/>
      </c>
      <c r="I23" s="24">
        <f>SUM(C23:H23)</f>
        <v/>
      </c>
      <c r="J23" s="24">
        <f>IF(I23&gt;0,0,B23)</f>
        <v/>
      </c>
      <c r="K23" s="24">
        <f>IF(I23&gt;0,B23,0)</f>
        <v/>
      </c>
      <c r="L23" s="25">
        <f>IF(B23&gt;0,(ABS(B23-$J$115)),0)</f>
        <v/>
      </c>
      <c r="M23" s="25">
        <f>IF(I23&gt;0,0,L23)</f>
        <v/>
      </c>
      <c r="O23" s="25">
        <f>C23*$L23</f>
        <v/>
      </c>
      <c r="P23" s="25">
        <f>D23*$L23</f>
        <v/>
      </c>
      <c r="Q23" s="25">
        <f>E23*$L23</f>
        <v/>
      </c>
      <c r="R23" s="25">
        <f>F23*$L23</f>
        <v/>
      </c>
      <c r="S23" s="25">
        <f>G23*$L23</f>
        <v/>
      </c>
      <c r="T23" s="25">
        <f>H23*$L23</f>
        <v/>
      </c>
      <c r="V23" s="25" t="n"/>
      <c r="W23" s="25" t="n"/>
      <c r="X23" s="25" t="n"/>
      <c r="Y23" s="25" t="n"/>
      <c r="Z23" s="25" t="n"/>
      <c r="AA23" s="25" t="n"/>
    </row>
    <row r="24" ht="33" customHeight="1">
      <c r="A24" s="22" t="n">
        <v>12</v>
      </c>
      <c r="B24" s="26" t="n">
        <v>35</v>
      </c>
      <c r="C24" s="54">
        <f>IF(SUM($V24:$AA24), ROUND(V24/SUM($V24:$AA24), 2),0)</f>
        <v/>
      </c>
      <c r="D24" s="54">
        <f>IF(SUM($V24:$AA24), ROUND(W24/SUM($V24:$AA24), 2),0)</f>
        <v/>
      </c>
      <c r="E24" s="54">
        <f>IF(SUM($V24:$AA24), ROUND(X24/SUM($V24:$AA24), 2),0)</f>
        <v/>
      </c>
      <c r="F24" s="54">
        <f>IF(SUM($V24:$AA24), ROUND(Y24/SUM($V24:$AA24), 2),0)</f>
        <v/>
      </c>
      <c r="G24" s="54">
        <f>IF(SUM($V24:$AA24), ROUND(Z24/SUM($V24:$AA24), 2),0)</f>
        <v/>
      </c>
      <c r="H24" s="54">
        <f>IF(SUM($V24:$AA24), ROUND(AA24/SUM($V24:$AA24), 2),0)</f>
        <v/>
      </c>
      <c r="I24" s="24">
        <f>SUM(C24:H24)</f>
        <v/>
      </c>
      <c r="J24" s="24">
        <f>IF(I24&gt;0,0,B24)</f>
        <v/>
      </c>
      <c r="K24" s="24">
        <f>IF(I24&gt;0,B24,0)</f>
        <v/>
      </c>
      <c r="L24" s="25">
        <f>IF(B24&gt;0,(ABS(B24-$J$115)),0)</f>
        <v/>
      </c>
      <c r="M24" s="25">
        <f>IF(I24&gt;0,0,L24)</f>
        <v/>
      </c>
      <c r="O24" s="25">
        <f>C24*$L24</f>
        <v/>
      </c>
      <c r="P24" s="25">
        <f>D24*$L24</f>
        <v/>
      </c>
      <c r="Q24" s="25">
        <f>E24*$L24</f>
        <v/>
      </c>
      <c r="R24" s="25">
        <f>F24*$L24</f>
        <v/>
      </c>
      <c r="S24" s="25">
        <f>G24*$L24</f>
        <v/>
      </c>
      <c r="T24" s="25">
        <f>H24*$L24</f>
        <v/>
      </c>
      <c r="V24" s="25" t="n"/>
      <c r="W24" s="25" t="n"/>
      <c r="X24" s="25" t="n"/>
      <c r="Y24" s="25" t="n"/>
      <c r="Z24" s="25" t="n"/>
      <c r="AA24" s="25" t="n"/>
    </row>
    <row r="25" ht="33" customHeight="1">
      <c r="A25" s="22" t="n">
        <v>13</v>
      </c>
      <c r="B25" s="26" t="n">
        <v>24</v>
      </c>
      <c r="C25" s="54">
        <f>IF(SUM($V25:$AA25), ROUND(V25/SUM($V25:$AA25), 2),0)</f>
        <v/>
      </c>
      <c r="D25" s="54">
        <f>IF(SUM($V25:$AA25), ROUND(W25/SUM($V25:$AA25), 2),0)</f>
        <v/>
      </c>
      <c r="E25" s="54">
        <f>IF(SUM($V25:$AA25), ROUND(X25/SUM($V25:$AA25), 2),0)</f>
        <v/>
      </c>
      <c r="F25" s="54">
        <f>IF(SUM($V25:$AA25), ROUND(Y25/SUM($V25:$AA25), 2),0)</f>
        <v/>
      </c>
      <c r="G25" s="54">
        <f>IF(SUM($V25:$AA25), ROUND(Z25/SUM($V25:$AA25), 2),0)</f>
        <v/>
      </c>
      <c r="H25" s="54">
        <f>IF(SUM($V25:$AA25), ROUND(AA25/SUM($V25:$AA25), 2),0)</f>
        <v/>
      </c>
      <c r="I25" s="24">
        <f>SUM(C25:H25)</f>
        <v/>
      </c>
      <c r="J25" s="24">
        <f>IF(I25&gt;0,0,B25)</f>
        <v/>
      </c>
      <c r="K25" s="24">
        <f>IF(I25&gt;0,B25,0)</f>
        <v/>
      </c>
      <c r="L25" s="25">
        <f>IF(B25&gt;0,(ABS(B25-$J$115)),0)</f>
        <v/>
      </c>
      <c r="M25" s="25">
        <f>IF(I25&gt;0,0,L25)</f>
        <v/>
      </c>
      <c r="O25" s="25">
        <f>C25*$L25</f>
        <v/>
      </c>
      <c r="P25" s="25">
        <f>D25*$L25</f>
        <v/>
      </c>
      <c r="Q25" s="25">
        <f>E25*$L25</f>
        <v/>
      </c>
      <c r="R25" s="25">
        <f>F25*$L25</f>
        <v/>
      </c>
      <c r="S25" s="25">
        <f>G25*$L25</f>
        <v/>
      </c>
      <c r="T25" s="25">
        <f>H25*$L25</f>
        <v/>
      </c>
      <c r="V25" s="25" t="n"/>
      <c r="W25" s="25" t="n"/>
      <c r="X25" s="25" t="n"/>
      <c r="Y25" s="25" t="n"/>
      <c r="Z25" s="25" t="n"/>
      <c r="AA25" s="25" t="n"/>
    </row>
    <row r="26" ht="33" customHeight="1">
      <c r="A26" s="22" t="n">
        <v>14</v>
      </c>
      <c r="B26" s="26" t="n">
        <v>27</v>
      </c>
      <c r="C26" s="54">
        <f>IF(SUM($V26:$AA26), ROUND(V26/SUM($V26:$AA26), 2),0)</f>
        <v/>
      </c>
      <c r="D26" s="54">
        <f>IF(SUM($V26:$AA26), ROUND(W26/SUM($V26:$AA26), 2),0)</f>
        <v/>
      </c>
      <c r="E26" s="54">
        <f>IF(SUM($V26:$AA26), ROUND(X26/SUM($V26:$AA26), 2),0)</f>
        <v/>
      </c>
      <c r="F26" s="54">
        <f>IF(SUM($V26:$AA26), ROUND(Y26/SUM($V26:$AA26), 2),0)</f>
        <v/>
      </c>
      <c r="G26" s="54">
        <f>IF(SUM($V26:$AA26), ROUND(Z26/SUM($V26:$AA26), 2),0)</f>
        <v/>
      </c>
      <c r="H26" s="54">
        <f>IF(SUM($V26:$AA26), ROUND(AA26/SUM($V26:$AA26), 2),0)</f>
        <v/>
      </c>
      <c r="I26" s="24">
        <f>SUM(C26:H26)</f>
        <v/>
      </c>
      <c r="J26" s="24">
        <f>IF(I26&gt;0,0,B26)</f>
        <v/>
      </c>
      <c r="K26" s="24">
        <f>IF(I26&gt;0,B26,0)</f>
        <v/>
      </c>
      <c r="L26" s="25">
        <f>IF(B26&gt;0,(ABS(B26-$J$115)),0)</f>
        <v/>
      </c>
      <c r="M26" s="25">
        <f>IF(I26&gt;0,0,L26)</f>
        <v/>
      </c>
      <c r="O26" s="25">
        <f>C26*$L26</f>
        <v/>
      </c>
      <c r="P26" s="25">
        <f>D26*$L26</f>
        <v/>
      </c>
      <c r="Q26" s="25">
        <f>E26*$L26</f>
        <v/>
      </c>
      <c r="R26" s="25">
        <f>F26*$L26</f>
        <v/>
      </c>
      <c r="S26" s="25">
        <f>G26*$L26</f>
        <v/>
      </c>
      <c r="T26" s="25">
        <f>H26*$L26</f>
        <v/>
      </c>
      <c r="V26" s="25" t="n"/>
      <c r="W26" s="25" t="n"/>
      <c r="X26" s="25" t="n"/>
      <c r="Y26" s="25" t="n"/>
      <c r="Z26" s="25" t="n"/>
      <c r="AA26" s="25" t="n"/>
    </row>
    <row r="27" ht="33" customHeight="1">
      <c r="A27" s="22" t="n">
        <v>15</v>
      </c>
      <c r="B27" s="26" t="n">
        <v>21</v>
      </c>
      <c r="C27" s="54">
        <f>IF(SUM($V27:$AA27), ROUND(V27/SUM($V27:$AA27), 2),0)</f>
        <v/>
      </c>
      <c r="D27" s="54">
        <f>IF(SUM($V27:$AA27), ROUND(W27/SUM($V27:$AA27), 2),0)</f>
        <v/>
      </c>
      <c r="E27" s="54">
        <f>IF(SUM($V27:$AA27), ROUND(X27/SUM($V27:$AA27), 2),0)</f>
        <v/>
      </c>
      <c r="F27" s="54">
        <f>IF(SUM($V27:$AA27), ROUND(Y27/SUM($V27:$AA27), 2),0)</f>
        <v/>
      </c>
      <c r="G27" s="54">
        <f>IF(SUM($V27:$AA27), ROUND(Z27/SUM($V27:$AA27), 2),0)</f>
        <v/>
      </c>
      <c r="H27" s="54">
        <f>IF(SUM($V27:$AA27), ROUND(AA27/SUM($V27:$AA27), 2),0)</f>
        <v/>
      </c>
      <c r="I27" s="24">
        <f>SUM(C27:H27)</f>
        <v/>
      </c>
      <c r="J27" s="24">
        <f>IF(I27&gt;0,0,B27)</f>
        <v/>
      </c>
      <c r="K27" s="24">
        <f>IF(I27&gt;0,B27,0)</f>
        <v/>
      </c>
      <c r="L27" s="25">
        <f>IF(B27&gt;0,(ABS(B27-$J$115)),0)</f>
        <v/>
      </c>
      <c r="M27" s="25">
        <f>IF(I27&gt;0,0,L27)</f>
        <v/>
      </c>
      <c r="O27" s="25">
        <f>C27*$L27</f>
        <v/>
      </c>
      <c r="P27" s="25">
        <f>D27*$L27</f>
        <v/>
      </c>
      <c r="Q27" s="25">
        <f>E27*$L27</f>
        <v/>
      </c>
      <c r="R27" s="25">
        <f>F27*$L27</f>
        <v/>
      </c>
      <c r="S27" s="25">
        <f>G27*$L27</f>
        <v/>
      </c>
      <c r="T27" s="25">
        <f>H27*$L27</f>
        <v/>
      </c>
      <c r="V27" s="25" t="n"/>
      <c r="W27" s="25" t="n"/>
      <c r="X27" s="25" t="n"/>
      <c r="Y27" s="25" t="n"/>
      <c r="Z27" s="25" t="n"/>
      <c r="AA27" s="25" t="n"/>
    </row>
    <row r="28" ht="33" customHeight="1">
      <c r="A28" s="22" t="n">
        <v>16</v>
      </c>
      <c r="B28" s="26" t="n">
        <v>20</v>
      </c>
      <c r="C28" s="54">
        <f>IF(SUM($V28:$AA28), ROUND(V28/SUM($V28:$AA28), 2),0)</f>
        <v/>
      </c>
      <c r="D28" s="54">
        <f>IF(SUM($V28:$AA28), ROUND(W28/SUM($V28:$AA28), 2),0)</f>
        <v/>
      </c>
      <c r="E28" s="54">
        <f>IF(SUM($V28:$AA28), ROUND(X28/SUM($V28:$AA28), 2),0)</f>
        <v/>
      </c>
      <c r="F28" s="54">
        <f>IF(SUM($V28:$AA28), ROUND(Y28/SUM($V28:$AA28), 2),0)</f>
        <v/>
      </c>
      <c r="G28" s="54">
        <f>IF(SUM($V28:$AA28), ROUND(Z28/SUM($V28:$AA28), 2),0)</f>
        <v/>
      </c>
      <c r="H28" s="54">
        <f>IF(SUM($V28:$AA28), ROUND(AA28/SUM($V28:$AA28), 2),0)</f>
        <v/>
      </c>
      <c r="I28" s="24">
        <f>SUM(C28:H28)</f>
        <v/>
      </c>
      <c r="J28" s="24">
        <f>IF(I28&gt;0,0,B28)</f>
        <v/>
      </c>
      <c r="K28" s="24">
        <f>IF(I28&gt;0,B28,0)</f>
        <v/>
      </c>
      <c r="L28" s="25">
        <f>IF(B28&gt;0,(ABS(B28-$J$115)),0)</f>
        <v/>
      </c>
      <c r="M28" s="25">
        <f>IF(I28&gt;0,0,L28)</f>
        <v/>
      </c>
      <c r="O28" s="25">
        <f>C28*$L28</f>
        <v/>
      </c>
      <c r="P28" s="25">
        <f>D28*$L28</f>
        <v/>
      </c>
      <c r="Q28" s="25">
        <f>E28*$L28</f>
        <v/>
      </c>
      <c r="R28" s="25">
        <f>F28*$L28</f>
        <v/>
      </c>
      <c r="S28" s="25">
        <f>G28*$L28</f>
        <v/>
      </c>
      <c r="T28" s="25">
        <f>H28*$L28</f>
        <v/>
      </c>
      <c r="V28" s="25" t="n"/>
      <c r="W28" s="25" t="n"/>
      <c r="X28" s="25" t="n"/>
      <c r="Y28" s="25" t="n"/>
      <c r="Z28" s="25" t="n"/>
      <c r="AA28" s="25" t="n"/>
    </row>
    <row r="29" ht="33" customHeight="1">
      <c r="A29" s="22" t="n">
        <v>17</v>
      </c>
      <c r="B29" s="26" t="n">
        <v>27</v>
      </c>
      <c r="C29" s="54">
        <f>IF(SUM($V29:$AA29), ROUND(V29/SUM($V29:$AA29), 2),0)</f>
        <v/>
      </c>
      <c r="D29" s="54">
        <f>IF(SUM($V29:$AA29), ROUND(W29/SUM($V29:$AA29), 2),0)</f>
        <v/>
      </c>
      <c r="E29" s="54">
        <f>IF(SUM($V29:$AA29), ROUND(X29/SUM($V29:$AA29), 2),0)</f>
        <v/>
      </c>
      <c r="F29" s="54">
        <f>IF(SUM($V29:$AA29), ROUND(Y29/SUM($V29:$AA29), 2),0)</f>
        <v/>
      </c>
      <c r="G29" s="54">
        <f>IF(SUM($V29:$AA29), ROUND(Z29/SUM($V29:$AA29), 2),0)</f>
        <v/>
      </c>
      <c r="H29" s="54">
        <f>IF(SUM($V29:$AA29), ROUND(AA29/SUM($V29:$AA29), 2),0)</f>
        <v/>
      </c>
      <c r="I29" s="24">
        <f>SUM(C29:H29)</f>
        <v/>
      </c>
      <c r="J29" s="24">
        <f>IF(I29&gt;0,0,B29)</f>
        <v/>
      </c>
      <c r="K29" s="24">
        <f>IF(I29&gt;0,B29,0)</f>
        <v/>
      </c>
      <c r="L29" s="25">
        <f>IF(B29&gt;0,(ABS(B29-$J$115)),0)</f>
        <v/>
      </c>
      <c r="M29" s="25">
        <f>IF(I29&gt;0,0,L29)</f>
        <v/>
      </c>
      <c r="O29" s="25">
        <f>C29*$L29</f>
        <v/>
      </c>
      <c r="P29" s="25">
        <f>D29*$L29</f>
        <v/>
      </c>
      <c r="Q29" s="25">
        <f>E29*$L29</f>
        <v/>
      </c>
      <c r="R29" s="25">
        <f>F29*$L29</f>
        <v/>
      </c>
      <c r="S29" s="25">
        <f>G29*$L29</f>
        <v/>
      </c>
      <c r="T29" s="25">
        <f>H29*$L29</f>
        <v/>
      </c>
      <c r="V29" s="25" t="n"/>
      <c r="W29" s="25" t="n"/>
      <c r="X29" s="25" t="n"/>
      <c r="Y29" s="25" t="n"/>
      <c r="Z29" s="25" t="n"/>
      <c r="AA29" s="25" t="n"/>
    </row>
    <row r="30" ht="33" customHeight="1">
      <c r="A30" s="22" t="n">
        <v>18</v>
      </c>
      <c r="B30" s="26" t="n">
        <v>23</v>
      </c>
      <c r="C30" s="54">
        <f>IF(SUM($V30:$AA30), ROUND(V30/SUM($V30:$AA30), 2),0)</f>
        <v/>
      </c>
      <c r="D30" s="54">
        <f>IF(SUM($V30:$AA30), ROUND(W30/SUM($V30:$AA30), 2),0)</f>
        <v/>
      </c>
      <c r="E30" s="54">
        <f>IF(SUM($V30:$AA30), ROUND(X30/SUM($V30:$AA30), 2),0)</f>
        <v/>
      </c>
      <c r="F30" s="54">
        <f>IF(SUM($V30:$AA30), ROUND(Y30/SUM($V30:$AA30), 2),0)</f>
        <v/>
      </c>
      <c r="G30" s="54">
        <f>IF(SUM($V30:$AA30), ROUND(Z30/SUM($V30:$AA30), 2),0)</f>
        <v/>
      </c>
      <c r="H30" s="54">
        <f>IF(SUM($V30:$AA30), ROUND(AA30/SUM($V30:$AA30), 2),0)</f>
        <v/>
      </c>
      <c r="I30" s="24">
        <f>SUM(C30:H30)</f>
        <v/>
      </c>
      <c r="J30" s="24">
        <f>IF(I30&gt;0,0,B30)</f>
        <v/>
      </c>
      <c r="K30" s="24">
        <f>IF(I30&gt;0,B30,0)</f>
        <v/>
      </c>
      <c r="L30" s="25">
        <f>IF(B30&gt;0,(ABS(B30-$J$115)),0)</f>
        <v/>
      </c>
      <c r="M30" s="25">
        <f>IF(I30&gt;0,0,L30)</f>
        <v/>
      </c>
      <c r="O30" s="25">
        <f>C30*$L30</f>
        <v/>
      </c>
      <c r="P30" s="25">
        <f>D30*$L30</f>
        <v/>
      </c>
      <c r="Q30" s="25">
        <f>E30*$L30</f>
        <v/>
      </c>
      <c r="R30" s="25">
        <f>F30*$L30</f>
        <v/>
      </c>
      <c r="S30" s="25">
        <f>G30*$L30</f>
        <v/>
      </c>
      <c r="T30" s="25">
        <f>H30*$L30</f>
        <v/>
      </c>
      <c r="V30" s="25" t="n"/>
      <c r="W30" s="25" t="n"/>
      <c r="X30" s="25" t="n"/>
      <c r="Y30" s="25" t="n"/>
      <c r="Z30" s="25" t="n"/>
      <c r="AA30" s="25" t="n"/>
    </row>
    <row r="31" ht="33" customHeight="1">
      <c r="A31" s="22" t="n">
        <v>19</v>
      </c>
      <c r="B31" s="26" t="n">
        <v>26</v>
      </c>
      <c r="C31" s="54">
        <f>IF(SUM($V31:$AA31), ROUND(V31/SUM($V31:$AA31), 2),0)</f>
        <v/>
      </c>
      <c r="D31" s="54">
        <f>IF(SUM($V31:$AA31), ROUND(W31/SUM($V31:$AA31), 2),0)</f>
        <v/>
      </c>
      <c r="E31" s="54">
        <f>IF(SUM($V31:$AA31), ROUND(X31/SUM($V31:$AA31), 2),0)</f>
        <v/>
      </c>
      <c r="F31" s="54">
        <f>IF(SUM($V31:$AA31), ROUND(Y31/SUM($V31:$AA31), 2),0)</f>
        <v/>
      </c>
      <c r="G31" s="54">
        <f>IF(SUM($V31:$AA31), ROUND(Z31/SUM($V31:$AA31), 2),0)</f>
        <v/>
      </c>
      <c r="H31" s="54">
        <f>IF(SUM($V31:$AA31), ROUND(AA31/SUM($V31:$AA31), 2),0)</f>
        <v/>
      </c>
      <c r="I31" s="24">
        <f>SUM(C31:H31)</f>
        <v/>
      </c>
      <c r="J31" s="24">
        <f>IF(I31&gt;0,0,B31)</f>
        <v/>
      </c>
      <c r="K31" s="24">
        <f>IF(I31&gt;0,B31,0)</f>
        <v/>
      </c>
      <c r="L31" s="25">
        <f>IF(B31&gt;0,(ABS(B31-$J$115)),0)</f>
        <v/>
      </c>
      <c r="M31" s="25">
        <f>IF(I31&gt;0,0,L31)</f>
        <v/>
      </c>
      <c r="O31" s="25">
        <f>C31*$L31</f>
        <v/>
      </c>
      <c r="P31" s="25">
        <f>D31*$L31</f>
        <v/>
      </c>
      <c r="Q31" s="25">
        <f>E31*$L31</f>
        <v/>
      </c>
      <c r="R31" s="25">
        <f>F31*$L31</f>
        <v/>
      </c>
      <c r="S31" s="25">
        <f>G31*$L31</f>
        <v/>
      </c>
      <c r="T31" s="25">
        <f>H31*$L31</f>
        <v/>
      </c>
      <c r="V31" s="25" t="n"/>
      <c r="W31" s="25" t="n"/>
      <c r="X31" s="25" t="n"/>
      <c r="Y31" s="25" t="n"/>
      <c r="Z31" s="25" t="n"/>
      <c r="AA31" s="25" t="n"/>
    </row>
    <row r="32" ht="33" customHeight="1">
      <c r="A32" s="22" t="n">
        <v>20</v>
      </c>
      <c r="B32" s="26" t="n">
        <v>24</v>
      </c>
      <c r="C32" s="54">
        <f>IF(SUM($V32:$AA32), ROUND(V32/SUM($V32:$AA32), 2),0)</f>
        <v/>
      </c>
      <c r="D32" s="54">
        <f>IF(SUM($V32:$AA32), ROUND(W32/SUM($V32:$AA32), 2),0)</f>
        <v/>
      </c>
      <c r="E32" s="54">
        <f>IF(SUM($V32:$AA32), ROUND(X32/SUM($V32:$AA32), 2),0)</f>
        <v/>
      </c>
      <c r="F32" s="54">
        <f>IF(SUM($V32:$AA32), ROUND(Y32/SUM($V32:$AA32), 2),0)</f>
        <v/>
      </c>
      <c r="G32" s="54">
        <f>IF(SUM($V32:$AA32), ROUND(Z32/SUM($V32:$AA32), 2),0)</f>
        <v/>
      </c>
      <c r="H32" s="54">
        <f>IF(SUM($V32:$AA32), ROUND(AA32/SUM($V32:$AA32), 2),0)</f>
        <v/>
      </c>
      <c r="I32" s="24">
        <f>SUM(C32:H32)</f>
        <v/>
      </c>
      <c r="J32" s="24">
        <f>IF(I32&gt;0,0,B32)</f>
        <v/>
      </c>
      <c r="K32" s="24">
        <f>IF(I32&gt;0,B32,0)</f>
        <v/>
      </c>
      <c r="L32" s="25">
        <f>IF(B32&gt;0,(ABS(B32-$J$115)),0)</f>
        <v/>
      </c>
      <c r="M32" s="25">
        <f>IF(I32&gt;0,0,L32)</f>
        <v/>
      </c>
      <c r="O32" s="25">
        <f>C32*$L32</f>
        <v/>
      </c>
      <c r="P32" s="25">
        <f>D32*$L32</f>
        <v/>
      </c>
      <c r="Q32" s="25">
        <f>E32*$L32</f>
        <v/>
      </c>
      <c r="R32" s="25">
        <f>F32*$L32</f>
        <v/>
      </c>
      <c r="S32" s="25">
        <f>G32*$L32</f>
        <v/>
      </c>
      <c r="T32" s="25">
        <f>H32*$L32</f>
        <v/>
      </c>
      <c r="V32" s="25" t="n"/>
      <c r="W32" s="25" t="n"/>
      <c r="X32" s="25" t="n"/>
      <c r="Y32" s="25" t="n"/>
      <c r="Z32" s="25" t="n"/>
      <c r="AA32" s="25" t="n"/>
    </row>
    <row r="33" ht="33" customHeight="1">
      <c r="A33" s="22" t="n">
        <v>21</v>
      </c>
      <c r="B33" s="26" t="n">
        <v>309</v>
      </c>
      <c r="C33" s="54">
        <f>IF(SUM($V33:$AA33), ROUND(V33/SUM($V33:$AA33), 2),0)</f>
        <v/>
      </c>
      <c r="D33" s="54">
        <f>IF(SUM($V33:$AA33), ROUND(W33/SUM($V33:$AA33), 2),0)</f>
        <v/>
      </c>
      <c r="E33" s="54">
        <f>IF(SUM($V33:$AA33), ROUND(X33/SUM($V33:$AA33), 2),0)</f>
        <v/>
      </c>
      <c r="F33" s="54">
        <f>IF(SUM($V33:$AA33), ROUND(Y33/SUM($V33:$AA33), 2),0)</f>
        <v/>
      </c>
      <c r="G33" s="54">
        <f>IF(SUM($V33:$AA33), ROUND(Z33/SUM($V33:$AA33), 2),0)</f>
        <v/>
      </c>
      <c r="H33" s="54">
        <f>IF(SUM($V33:$AA33), ROUND(AA33/SUM($V33:$AA33), 2),0)</f>
        <v/>
      </c>
      <c r="I33" s="24">
        <f>SUM(C33:H33)</f>
        <v/>
      </c>
      <c r="J33" s="24">
        <f>IF(I33&gt;0,0,B33)</f>
        <v/>
      </c>
      <c r="K33" s="24">
        <f>IF(I33&gt;0,B33,0)</f>
        <v/>
      </c>
      <c r="L33" s="25">
        <f>IF(B33&gt;0,(ABS(B33-$J$115)),0)</f>
        <v/>
      </c>
      <c r="M33" s="25">
        <f>IF(I33&gt;0,0,L33)</f>
        <v/>
      </c>
      <c r="O33" s="25">
        <f>C33*$L33</f>
        <v/>
      </c>
      <c r="P33" s="25">
        <f>D33*$L33</f>
        <v/>
      </c>
      <c r="Q33" s="25">
        <f>E33*$L33</f>
        <v/>
      </c>
      <c r="R33" s="25">
        <f>F33*$L33</f>
        <v/>
      </c>
      <c r="S33" s="25">
        <f>G33*$L33</f>
        <v/>
      </c>
      <c r="T33" s="25">
        <f>H33*$L33</f>
        <v/>
      </c>
      <c r="V33" s="25" t="n"/>
      <c r="W33" s="25" t="n"/>
      <c r="X33" s="25" t="n"/>
      <c r="Y33" s="25" t="n">
        <v>285</v>
      </c>
      <c r="Z33" s="25" t="n"/>
      <c r="AA33" s="25" t="n"/>
    </row>
    <row r="34" ht="33" customHeight="1">
      <c r="A34" s="22" t="n">
        <v>22</v>
      </c>
      <c r="B34" s="26" t="n">
        <v>20</v>
      </c>
      <c r="C34" s="54">
        <f>IF(SUM($V34:$AA34), ROUND(V34/SUM($V34:$AA34), 2),0)</f>
        <v/>
      </c>
      <c r="D34" s="54">
        <f>IF(SUM($V34:$AA34), ROUND(W34/SUM($V34:$AA34), 2),0)</f>
        <v/>
      </c>
      <c r="E34" s="54">
        <f>IF(SUM($V34:$AA34), ROUND(X34/SUM($V34:$AA34), 2),0)</f>
        <v/>
      </c>
      <c r="F34" s="54">
        <f>IF(SUM($V34:$AA34), ROUND(Y34/SUM($V34:$AA34), 2),0)</f>
        <v/>
      </c>
      <c r="G34" s="54">
        <f>IF(SUM($V34:$AA34), ROUND(Z34/SUM($V34:$AA34), 2),0)</f>
        <v/>
      </c>
      <c r="H34" s="54">
        <f>IF(SUM($V34:$AA34), ROUND(AA34/SUM($V34:$AA34), 2),0)</f>
        <v/>
      </c>
      <c r="I34" s="24">
        <f>SUM(C34:H34)</f>
        <v/>
      </c>
      <c r="J34" s="24">
        <f>IF(I34&gt;0,0,B34)</f>
        <v/>
      </c>
      <c r="K34" s="24">
        <f>IF(I34&gt;0,B34,0)</f>
        <v/>
      </c>
      <c r="L34" s="25">
        <f>IF(B34&gt;0,(ABS(B34-$J$115)),0)</f>
        <v/>
      </c>
      <c r="M34" s="25">
        <f>IF(I34&gt;0,0,L34)</f>
        <v/>
      </c>
      <c r="O34" s="25">
        <f>C34*$L34</f>
        <v/>
      </c>
      <c r="P34" s="25">
        <f>D34*$L34</f>
        <v/>
      </c>
      <c r="Q34" s="25">
        <f>E34*$L34</f>
        <v/>
      </c>
      <c r="R34" s="25">
        <f>F34*$L34</f>
        <v/>
      </c>
      <c r="S34" s="25">
        <f>G34*$L34</f>
        <v/>
      </c>
      <c r="T34" s="25">
        <f>H34*$L34</f>
        <v/>
      </c>
      <c r="V34" s="25" t="n"/>
      <c r="W34" s="25" t="n"/>
      <c r="X34" s="25" t="n"/>
      <c r="Y34" s="25" t="n"/>
      <c r="Z34" s="25" t="n"/>
      <c r="AA34" s="25" t="n"/>
    </row>
    <row r="35" ht="33" customHeight="1">
      <c r="A35" s="22" t="n">
        <v>23</v>
      </c>
      <c r="B35" s="26" t="n">
        <v>24</v>
      </c>
      <c r="C35" s="54">
        <f>IF(SUM($V35:$AA35), ROUND(V35/SUM($V35:$AA35), 2),0)</f>
        <v/>
      </c>
      <c r="D35" s="54">
        <f>IF(SUM($V35:$AA35), ROUND(W35/SUM($V35:$AA35), 2),0)</f>
        <v/>
      </c>
      <c r="E35" s="54">
        <f>IF(SUM($V35:$AA35), ROUND(X35/SUM($V35:$AA35), 2),0)</f>
        <v/>
      </c>
      <c r="F35" s="54">
        <f>IF(SUM($V35:$AA35), ROUND(Y35/SUM($V35:$AA35), 2),0)</f>
        <v/>
      </c>
      <c r="G35" s="54">
        <f>IF(SUM($V35:$AA35), ROUND(Z35/SUM($V35:$AA35), 2),0)</f>
        <v/>
      </c>
      <c r="H35" s="54">
        <f>IF(SUM($V35:$AA35), ROUND(AA35/SUM($V35:$AA35), 2),0)</f>
        <v/>
      </c>
      <c r="I35" s="24">
        <f>SUM(C35:H35)</f>
        <v/>
      </c>
      <c r="J35" s="24">
        <f>IF(I35&gt;0,0,B35)</f>
        <v/>
      </c>
      <c r="K35" s="24">
        <f>IF(I35&gt;0,B35,0)</f>
        <v/>
      </c>
      <c r="L35" s="25">
        <f>IF(B35&gt;0,(ABS(B35-$J$115)),0)</f>
        <v/>
      </c>
      <c r="M35" s="25">
        <f>IF(I35&gt;0,0,L35)</f>
        <v/>
      </c>
      <c r="O35" s="25">
        <f>C35*$L35</f>
        <v/>
      </c>
      <c r="P35" s="25">
        <f>D35*$L35</f>
        <v/>
      </c>
      <c r="Q35" s="25">
        <f>E35*$L35</f>
        <v/>
      </c>
      <c r="R35" s="25">
        <f>F35*$L35</f>
        <v/>
      </c>
      <c r="S35" s="25">
        <f>G35*$L35</f>
        <v/>
      </c>
      <c r="T35" s="25">
        <f>H35*$L35</f>
        <v/>
      </c>
      <c r="V35" s="25" t="n"/>
      <c r="W35" s="25" t="n"/>
      <c r="X35" s="25" t="n"/>
      <c r="Y35" s="25" t="n"/>
      <c r="Z35" s="25" t="n"/>
      <c r="AA35" s="25" t="n"/>
    </row>
    <row r="36" ht="33" customHeight="1">
      <c r="A36" s="22" t="n">
        <v>24</v>
      </c>
      <c r="B36" s="26" t="n">
        <v>22</v>
      </c>
      <c r="C36" s="54">
        <f>IF(SUM($V36:$AA36), ROUND(V36/SUM($V36:$AA36), 2),0)</f>
        <v/>
      </c>
      <c r="D36" s="54">
        <f>IF(SUM($V36:$AA36), ROUND(W36/SUM($V36:$AA36), 2),0)</f>
        <v/>
      </c>
      <c r="E36" s="54">
        <f>IF(SUM($V36:$AA36), ROUND(X36/SUM($V36:$AA36), 2),0)</f>
        <v/>
      </c>
      <c r="F36" s="54">
        <f>IF(SUM($V36:$AA36), ROUND(Y36/SUM($V36:$AA36), 2),0)</f>
        <v/>
      </c>
      <c r="G36" s="54">
        <f>IF(SUM($V36:$AA36), ROUND(Z36/SUM($V36:$AA36), 2),0)</f>
        <v/>
      </c>
      <c r="H36" s="54">
        <f>IF(SUM($V36:$AA36), ROUND(AA36/SUM($V36:$AA36), 2),0)</f>
        <v/>
      </c>
      <c r="I36" s="24">
        <f>SUM(C36:H36)</f>
        <v/>
      </c>
      <c r="J36" s="24">
        <f>IF(I36&gt;0,0,B36)</f>
        <v/>
      </c>
      <c r="K36" s="24">
        <f>IF(I36&gt;0,B36,0)</f>
        <v/>
      </c>
      <c r="L36" s="25">
        <f>IF(B36&gt;0,(ABS(B36-$J$115)),0)</f>
        <v/>
      </c>
      <c r="M36" s="25">
        <f>IF(I36&gt;0,0,L36)</f>
        <v/>
      </c>
      <c r="O36" s="25">
        <f>C36*$L36</f>
        <v/>
      </c>
      <c r="P36" s="25">
        <f>D36*$L36</f>
        <v/>
      </c>
      <c r="Q36" s="25">
        <f>E36*$L36</f>
        <v/>
      </c>
      <c r="R36" s="25">
        <f>F36*$L36</f>
        <v/>
      </c>
      <c r="S36" s="25">
        <f>G36*$L36</f>
        <v/>
      </c>
      <c r="T36" s="25">
        <f>H36*$L36</f>
        <v/>
      </c>
      <c r="V36" s="25" t="n"/>
      <c r="W36" s="25" t="n"/>
      <c r="X36" s="25" t="n"/>
      <c r="Y36" s="25" t="n"/>
      <c r="Z36" s="25" t="n"/>
      <c r="AA36" s="25" t="n"/>
    </row>
    <row r="37" ht="33" customHeight="1">
      <c r="A37" s="22" t="n">
        <v>25</v>
      </c>
      <c r="B37" s="26" t="n">
        <v>29</v>
      </c>
      <c r="C37" s="54">
        <f>IF(SUM($V37:$AA37), ROUND(V37/SUM($V37:$AA37), 2),0)</f>
        <v/>
      </c>
      <c r="D37" s="54">
        <f>IF(SUM($V37:$AA37), ROUND(W37/SUM($V37:$AA37), 2),0)</f>
        <v/>
      </c>
      <c r="E37" s="54">
        <f>IF(SUM($V37:$AA37), ROUND(X37/SUM($V37:$AA37), 2),0)</f>
        <v/>
      </c>
      <c r="F37" s="54">
        <f>IF(SUM($V37:$AA37), ROUND(Y37/SUM($V37:$AA37), 2),0)</f>
        <v/>
      </c>
      <c r="G37" s="54">
        <f>IF(SUM($V37:$AA37), ROUND(Z37/SUM($V37:$AA37), 2),0)</f>
        <v/>
      </c>
      <c r="H37" s="54">
        <f>IF(SUM($V37:$AA37), ROUND(AA37/SUM($V37:$AA37), 2),0)</f>
        <v/>
      </c>
      <c r="I37" s="24">
        <f>SUM(C37:H37)</f>
        <v/>
      </c>
      <c r="J37" s="24">
        <f>IF(I37&gt;0,0,B37)</f>
        <v/>
      </c>
      <c r="K37" s="24">
        <f>IF(I37&gt;0,B37,0)</f>
        <v/>
      </c>
      <c r="L37" s="25">
        <f>IF(B37&gt;0,(ABS(B37-$J$115)),0)</f>
        <v/>
      </c>
      <c r="M37" s="25">
        <f>IF(I37&gt;0,0,L37)</f>
        <v/>
      </c>
      <c r="O37" s="25">
        <f>C37*$L37</f>
        <v/>
      </c>
      <c r="P37" s="25">
        <f>D37*$L37</f>
        <v/>
      </c>
      <c r="Q37" s="25">
        <f>E37*$L37</f>
        <v/>
      </c>
      <c r="R37" s="25">
        <f>F37*$L37</f>
        <v/>
      </c>
      <c r="S37" s="25">
        <f>G37*$L37</f>
        <v/>
      </c>
      <c r="T37" s="25">
        <f>H37*$L37</f>
        <v/>
      </c>
      <c r="V37" s="25" t="n"/>
      <c r="W37" s="25" t="n"/>
      <c r="X37" s="25" t="n"/>
      <c r="Y37" s="25" t="n"/>
      <c r="Z37" s="25" t="n"/>
      <c r="AA37" s="25" t="n"/>
    </row>
    <row r="38" ht="33" customHeight="1">
      <c r="A38" s="22" t="n">
        <v>26</v>
      </c>
      <c r="B38" s="26" t="n">
        <v>26</v>
      </c>
      <c r="C38" s="54">
        <f>IF(SUM($V38:$AA38), ROUND(V38/SUM($V38:$AA38), 2),0)</f>
        <v/>
      </c>
      <c r="D38" s="54">
        <f>IF(SUM($V38:$AA38), ROUND(W38/SUM($V38:$AA38), 2),0)</f>
        <v/>
      </c>
      <c r="E38" s="54">
        <f>IF(SUM($V38:$AA38), ROUND(X38/SUM($V38:$AA38), 2),0)</f>
        <v/>
      </c>
      <c r="F38" s="54">
        <f>IF(SUM($V38:$AA38), ROUND(Y38/SUM($V38:$AA38), 2),0)</f>
        <v/>
      </c>
      <c r="G38" s="54">
        <f>IF(SUM($V38:$AA38), ROUND(Z38/SUM($V38:$AA38), 2),0)</f>
        <v/>
      </c>
      <c r="H38" s="54">
        <f>IF(SUM($V38:$AA38), ROUND(AA38/SUM($V38:$AA38), 2),0)</f>
        <v/>
      </c>
      <c r="I38" s="24">
        <f>SUM(C38:H38)</f>
        <v/>
      </c>
      <c r="J38" s="24">
        <f>IF(I38&gt;0,0,B38)</f>
        <v/>
      </c>
      <c r="K38" s="24">
        <f>IF(I38&gt;0,B38,0)</f>
        <v/>
      </c>
      <c r="L38" s="25">
        <f>IF(B38&gt;0,(ABS(B38-$J$115)),0)</f>
        <v/>
      </c>
      <c r="M38" s="25">
        <f>IF(I38&gt;0,0,L38)</f>
        <v/>
      </c>
      <c r="O38" s="25">
        <f>C38*$L38</f>
        <v/>
      </c>
      <c r="P38" s="25">
        <f>D38*$L38</f>
        <v/>
      </c>
      <c r="Q38" s="25">
        <f>E38*$L38</f>
        <v/>
      </c>
      <c r="R38" s="25">
        <f>F38*$L38</f>
        <v/>
      </c>
      <c r="S38" s="25">
        <f>G38*$L38</f>
        <v/>
      </c>
      <c r="T38" s="25">
        <f>H38*$L38</f>
        <v/>
      </c>
      <c r="V38" s="25" t="n"/>
      <c r="W38" s="25" t="n"/>
      <c r="X38" s="25" t="n"/>
      <c r="Y38" s="25" t="n"/>
      <c r="Z38" s="25" t="n"/>
      <c r="AA38" s="25" t="n"/>
    </row>
    <row r="39" ht="33" customHeight="1">
      <c r="A39" s="22" t="n">
        <v>27</v>
      </c>
      <c r="B39" s="26" t="n">
        <v>17</v>
      </c>
      <c r="C39" s="54">
        <f>IF(SUM($V39:$AA39), ROUND(V39/SUM($V39:$AA39), 2),0)</f>
        <v/>
      </c>
      <c r="D39" s="54">
        <f>IF(SUM($V39:$AA39), ROUND(W39/SUM($V39:$AA39), 2),0)</f>
        <v/>
      </c>
      <c r="E39" s="54">
        <f>IF(SUM($V39:$AA39), ROUND(X39/SUM($V39:$AA39), 2),0)</f>
        <v/>
      </c>
      <c r="F39" s="54">
        <f>IF(SUM($V39:$AA39), ROUND(Y39/SUM($V39:$AA39), 2),0)</f>
        <v/>
      </c>
      <c r="G39" s="54">
        <f>IF(SUM($V39:$AA39), ROUND(Z39/SUM($V39:$AA39), 2),0)</f>
        <v/>
      </c>
      <c r="H39" s="54">
        <f>IF(SUM($V39:$AA39), ROUND(AA39/SUM($V39:$AA39), 2),0)</f>
        <v/>
      </c>
      <c r="I39" s="24">
        <f>SUM(C39:H39)</f>
        <v/>
      </c>
      <c r="J39" s="24">
        <f>IF(I39&gt;0,0,B39)</f>
        <v/>
      </c>
      <c r="K39" s="24">
        <f>IF(I39&gt;0,B39,0)</f>
        <v/>
      </c>
      <c r="L39" s="25">
        <f>IF(B39&gt;0,(ABS(B39-$J$115)),0)</f>
        <v/>
      </c>
      <c r="M39" s="25">
        <f>IF(I39&gt;0,0,L39)</f>
        <v/>
      </c>
      <c r="O39" s="25">
        <f>C39*$L39</f>
        <v/>
      </c>
      <c r="P39" s="25">
        <f>D39*$L39</f>
        <v/>
      </c>
      <c r="Q39" s="25">
        <f>E39*$L39</f>
        <v/>
      </c>
      <c r="R39" s="25">
        <f>F39*$L39</f>
        <v/>
      </c>
      <c r="S39" s="25">
        <f>G39*$L39</f>
        <v/>
      </c>
      <c r="T39" s="25">
        <f>H39*$L39</f>
        <v/>
      </c>
      <c r="V39" s="25" t="n"/>
      <c r="W39" s="25" t="n"/>
      <c r="X39" s="25" t="n"/>
      <c r="Y39" s="25" t="n"/>
      <c r="Z39" s="25" t="n"/>
      <c r="AA39" s="25" t="n"/>
    </row>
    <row r="40" ht="33" customHeight="1">
      <c r="A40" s="22" t="n">
        <v>28</v>
      </c>
      <c r="B40" s="26" t="n">
        <v>218</v>
      </c>
      <c r="C40" s="54">
        <f>IF(SUM($V40:$AA40), ROUND(V40/SUM($V40:$AA40), 2),0)</f>
        <v/>
      </c>
      <c r="D40" s="54">
        <f>IF(SUM($V40:$AA40), ROUND(W40/SUM($V40:$AA40), 2),0)</f>
        <v/>
      </c>
      <c r="E40" s="54">
        <f>IF(SUM($V40:$AA40), ROUND(X40/SUM($V40:$AA40), 2),0)</f>
        <v/>
      </c>
      <c r="F40" s="54">
        <f>IF(SUM($V40:$AA40), ROUND(Y40/SUM($V40:$AA40), 2),0)</f>
        <v/>
      </c>
      <c r="G40" s="54">
        <f>IF(SUM($V40:$AA40), ROUND(Z40/SUM($V40:$AA40), 2),0)</f>
        <v/>
      </c>
      <c r="H40" s="54">
        <f>IF(SUM($V40:$AA40), ROUND(AA40/SUM($V40:$AA40), 2),0)</f>
        <v/>
      </c>
      <c r="I40" s="24">
        <f>SUM(C40:H40)</f>
        <v/>
      </c>
      <c r="J40" s="24">
        <f>IF(I40&gt;0,0,B40)</f>
        <v/>
      </c>
      <c r="K40" s="24">
        <f>IF(I40&gt;0,B40,0)</f>
        <v/>
      </c>
      <c r="L40" s="25">
        <f>IF(B40&gt;0,(ABS(B40-$J$115)),0)</f>
        <v/>
      </c>
      <c r="M40" s="25">
        <f>IF(I40&gt;0,0,L40)</f>
        <v/>
      </c>
      <c r="O40" s="25">
        <f>C40*$L40</f>
        <v/>
      </c>
      <c r="P40" s="25">
        <f>D40*$L40</f>
        <v/>
      </c>
      <c r="Q40" s="25">
        <f>E40*$L40</f>
        <v/>
      </c>
      <c r="R40" s="25">
        <f>F40*$L40</f>
        <v/>
      </c>
      <c r="S40" s="25">
        <f>G40*$L40</f>
        <v/>
      </c>
      <c r="T40" s="25">
        <f>H40*$L40</f>
        <v/>
      </c>
      <c r="V40" s="25" t="n"/>
      <c r="W40" s="25" t="n"/>
      <c r="X40" s="25" t="n"/>
      <c r="Y40" s="25" t="n">
        <v>198</v>
      </c>
      <c r="Z40" s="25" t="n"/>
      <c r="AA40" s="25" t="n"/>
    </row>
    <row r="41" ht="33" customHeight="1">
      <c r="A41" s="22" t="n">
        <v>29</v>
      </c>
      <c r="B41" s="26" t="n">
        <v>20</v>
      </c>
      <c r="C41" s="54">
        <f>IF(SUM($V41:$AA41), ROUND(V41/SUM($V41:$AA41), 2),0)</f>
        <v/>
      </c>
      <c r="D41" s="54">
        <f>IF(SUM($V41:$AA41), ROUND(W41/SUM($V41:$AA41), 2),0)</f>
        <v/>
      </c>
      <c r="E41" s="54">
        <f>IF(SUM($V41:$AA41), ROUND(X41/SUM($V41:$AA41), 2),0)</f>
        <v/>
      </c>
      <c r="F41" s="54">
        <f>IF(SUM($V41:$AA41), ROUND(Y41/SUM($V41:$AA41), 2),0)</f>
        <v/>
      </c>
      <c r="G41" s="54">
        <f>IF(SUM($V41:$AA41), ROUND(Z41/SUM($V41:$AA41), 2),0)</f>
        <v/>
      </c>
      <c r="H41" s="54">
        <f>IF(SUM($V41:$AA41), ROUND(AA41/SUM($V41:$AA41), 2),0)</f>
        <v/>
      </c>
      <c r="I41" s="24">
        <f>SUM(C41:H41)</f>
        <v/>
      </c>
      <c r="J41" s="24">
        <f>IF(I41&gt;0,0,B41)</f>
        <v/>
      </c>
      <c r="K41" s="24">
        <f>IF(I41&gt;0,B41,0)</f>
        <v/>
      </c>
      <c r="L41" s="25">
        <f>IF(B41&gt;0,(ABS(B41-$J$115)),0)</f>
        <v/>
      </c>
      <c r="M41" s="25">
        <f>IF(I41&gt;0,0,L41)</f>
        <v/>
      </c>
      <c r="O41" s="25">
        <f>C41*$L41</f>
        <v/>
      </c>
      <c r="P41" s="25">
        <f>D41*$L41</f>
        <v/>
      </c>
      <c r="Q41" s="25">
        <f>E41*$L41</f>
        <v/>
      </c>
      <c r="R41" s="25">
        <f>F41*$L41</f>
        <v/>
      </c>
      <c r="S41" s="25">
        <f>G41*$L41</f>
        <v/>
      </c>
      <c r="T41" s="25">
        <f>H41*$L41</f>
        <v/>
      </c>
      <c r="V41" s="25" t="n"/>
      <c r="W41" s="25" t="n"/>
      <c r="X41" s="25" t="n"/>
      <c r="Y41" s="25" t="n"/>
      <c r="Z41" s="25" t="n"/>
      <c r="AA41" s="25" t="n"/>
    </row>
    <row r="42" ht="33" customHeight="1">
      <c r="A42" s="22" t="n">
        <v>30</v>
      </c>
      <c r="B42" s="26" t="n">
        <v>24</v>
      </c>
      <c r="C42" s="54">
        <f>IF(SUM($V42:$AA42), ROUND(V42/SUM($V42:$AA42), 2),0)</f>
        <v/>
      </c>
      <c r="D42" s="54">
        <f>IF(SUM($V42:$AA42), ROUND(W42/SUM($V42:$AA42), 2),0)</f>
        <v/>
      </c>
      <c r="E42" s="54">
        <f>IF(SUM($V42:$AA42), ROUND(X42/SUM($V42:$AA42), 2),0)</f>
        <v/>
      </c>
      <c r="F42" s="54">
        <f>IF(SUM($V42:$AA42), ROUND(Y42/SUM($V42:$AA42), 2),0)</f>
        <v/>
      </c>
      <c r="G42" s="54">
        <f>IF(SUM($V42:$AA42), ROUND(Z42/SUM($V42:$AA42), 2),0)</f>
        <v/>
      </c>
      <c r="H42" s="54">
        <f>IF(SUM($V42:$AA42), ROUND(AA42/SUM($V42:$AA42), 2),0)</f>
        <v/>
      </c>
      <c r="I42" s="24">
        <f>SUM(C42:H42)</f>
        <v/>
      </c>
      <c r="J42" s="24">
        <f>IF(I42&gt;0,0,B42)</f>
        <v/>
      </c>
      <c r="K42" s="24">
        <f>IF(I42&gt;0,B42,0)</f>
        <v/>
      </c>
      <c r="L42" s="25">
        <f>IF(B42&gt;0,(ABS(B42-$J$115)),0)</f>
        <v/>
      </c>
      <c r="M42" s="25">
        <f>IF(I42&gt;0,0,L42)</f>
        <v/>
      </c>
      <c r="O42" s="25">
        <f>C42*$L42</f>
        <v/>
      </c>
      <c r="P42" s="25">
        <f>D42*$L42</f>
        <v/>
      </c>
      <c r="Q42" s="25">
        <f>E42*$L42</f>
        <v/>
      </c>
      <c r="R42" s="25">
        <f>F42*$L42</f>
        <v/>
      </c>
      <c r="S42" s="25">
        <f>G42*$L42</f>
        <v/>
      </c>
      <c r="T42" s="25">
        <f>H42*$L42</f>
        <v/>
      </c>
      <c r="V42" s="25" t="n"/>
      <c r="W42" s="25" t="n"/>
      <c r="X42" s="25" t="n"/>
      <c r="Y42" s="25" t="n"/>
      <c r="Z42" s="25" t="n"/>
      <c r="AA42" s="25" t="n"/>
    </row>
    <row r="43" ht="33" customHeight="1">
      <c r="A43" s="22" t="n">
        <v>31</v>
      </c>
      <c r="B43" s="26" t="n">
        <v>19</v>
      </c>
      <c r="C43" s="54">
        <f>IF(SUM($V43:$AA43), ROUND(V43/SUM($V43:$AA43), 2),0)</f>
        <v/>
      </c>
      <c r="D43" s="54">
        <f>IF(SUM($V43:$AA43), ROUND(W43/SUM($V43:$AA43), 2),0)</f>
        <v/>
      </c>
      <c r="E43" s="54">
        <f>IF(SUM($V43:$AA43), ROUND(X43/SUM($V43:$AA43), 2),0)</f>
        <v/>
      </c>
      <c r="F43" s="54">
        <f>IF(SUM($V43:$AA43), ROUND(Y43/SUM($V43:$AA43), 2),0)</f>
        <v/>
      </c>
      <c r="G43" s="54">
        <f>IF(SUM($V43:$AA43), ROUND(Z43/SUM($V43:$AA43), 2),0)</f>
        <v/>
      </c>
      <c r="H43" s="54">
        <f>IF(SUM($V43:$AA43), ROUND(AA43/SUM($V43:$AA43), 2),0)</f>
        <v/>
      </c>
      <c r="I43" s="24">
        <f>SUM(C43:H43)</f>
        <v/>
      </c>
      <c r="J43" s="24">
        <f>IF(I43&gt;0,0,B43)</f>
        <v/>
      </c>
      <c r="K43" s="24">
        <f>IF(I43&gt;0,B43,0)</f>
        <v/>
      </c>
      <c r="L43" s="25">
        <f>IF(B43&gt;0,(ABS(B43-$J$115)),0)</f>
        <v/>
      </c>
      <c r="M43" s="25">
        <f>IF(I43&gt;0,0,L43)</f>
        <v/>
      </c>
      <c r="O43" s="25">
        <f>C43*$L43</f>
        <v/>
      </c>
      <c r="P43" s="25">
        <f>D43*$L43</f>
        <v/>
      </c>
      <c r="Q43" s="25">
        <f>E43*$L43</f>
        <v/>
      </c>
      <c r="R43" s="25">
        <f>F43*$L43</f>
        <v/>
      </c>
      <c r="S43" s="25">
        <f>G43*$L43</f>
        <v/>
      </c>
      <c r="T43" s="25">
        <f>H43*$L43</f>
        <v/>
      </c>
      <c r="V43" s="25" t="n"/>
      <c r="W43" s="25" t="n"/>
      <c r="X43" s="25" t="n"/>
      <c r="Y43" s="25" t="n"/>
      <c r="Z43" s="25" t="n"/>
      <c r="AA43" s="25" t="n"/>
    </row>
    <row r="44" ht="33" customHeight="1">
      <c r="A44" s="22" t="n">
        <v>32</v>
      </c>
      <c r="B44" s="26" t="n">
        <v>29</v>
      </c>
      <c r="C44" s="54">
        <f>IF(SUM($V44:$AA44), ROUND(V44/SUM($V44:$AA44), 2),0)</f>
        <v/>
      </c>
      <c r="D44" s="54">
        <f>IF(SUM($V44:$AA44), ROUND(W44/SUM($V44:$AA44), 2),0)</f>
        <v/>
      </c>
      <c r="E44" s="54">
        <f>IF(SUM($V44:$AA44), ROUND(X44/SUM($V44:$AA44), 2),0)</f>
        <v/>
      </c>
      <c r="F44" s="54">
        <f>IF(SUM($V44:$AA44), ROUND(Y44/SUM($V44:$AA44), 2),0)</f>
        <v/>
      </c>
      <c r="G44" s="54">
        <f>IF(SUM($V44:$AA44), ROUND(Z44/SUM($V44:$AA44), 2),0)</f>
        <v/>
      </c>
      <c r="H44" s="54">
        <f>IF(SUM($V44:$AA44), ROUND(AA44/SUM($V44:$AA44), 2),0)</f>
        <v/>
      </c>
      <c r="I44" s="24">
        <f>SUM(C44:H44)</f>
        <v/>
      </c>
      <c r="J44" s="24">
        <f>IF(I44&gt;0,0,B44)</f>
        <v/>
      </c>
      <c r="K44" s="24">
        <f>IF(I44&gt;0,B44,0)</f>
        <v/>
      </c>
      <c r="L44" s="25">
        <f>IF(B44&gt;0,(ABS(B44-$J$115)),0)</f>
        <v/>
      </c>
      <c r="M44" s="25">
        <f>IF(I44&gt;0,0,L44)</f>
        <v/>
      </c>
      <c r="O44" s="25">
        <f>C44*$L44</f>
        <v/>
      </c>
      <c r="P44" s="25">
        <f>D44*$L44</f>
        <v/>
      </c>
      <c r="Q44" s="25">
        <f>E44*$L44</f>
        <v/>
      </c>
      <c r="R44" s="25">
        <f>F44*$L44</f>
        <v/>
      </c>
      <c r="S44" s="25">
        <f>G44*$L44</f>
        <v/>
      </c>
      <c r="T44" s="25">
        <f>H44*$L44</f>
        <v/>
      </c>
      <c r="V44" s="25" t="n"/>
      <c r="W44" s="25" t="n"/>
      <c r="X44" s="25" t="n"/>
      <c r="Y44" s="25" t="n"/>
      <c r="Z44" s="25" t="n"/>
      <c r="AA44" s="25" t="n"/>
    </row>
    <row r="45" ht="33" customHeight="1">
      <c r="A45" s="22" t="n">
        <v>33</v>
      </c>
      <c r="B45" s="26" t="n">
        <v>18</v>
      </c>
      <c r="C45" s="54">
        <f>IF(SUM($V45:$AA45), ROUND(V45/SUM($V45:$AA45), 2),0)</f>
        <v/>
      </c>
      <c r="D45" s="54">
        <f>IF(SUM($V45:$AA45), ROUND(W45/SUM($V45:$AA45), 2),0)</f>
        <v/>
      </c>
      <c r="E45" s="54">
        <f>IF(SUM($V45:$AA45), ROUND(X45/SUM($V45:$AA45), 2),0)</f>
        <v/>
      </c>
      <c r="F45" s="54">
        <f>IF(SUM($V45:$AA45), ROUND(Y45/SUM($V45:$AA45), 2),0)</f>
        <v/>
      </c>
      <c r="G45" s="54">
        <f>IF(SUM($V45:$AA45), ROUND(Z45/SUM($V45:$AA45), 2),0)</f>
        <v/>
      </c>
      <c r="H45" s="54">
        <f>IF(SUM($V45:$AA45), ROUND(AA45/SUM($V45:$AA45), 2),0)</f>
        <v/>
      </c>
      <c r="I45" s="24">
        <f>SUM(C45:H45)</f>
        <v/>
      </c>
      <c r="J45" s="24">
        <f>IF(I45&gt;0,0,B45)</f>
        <v/>
      </c>
      <c r="K45" s="24">
        <f>IF(I45&gt;0,B45,0)</f>
        <v/>
      </c>
      <c r="L45" s="25">
        <f>IF(B45&gt;0,(ABS(B45-$J$115)),0)</f>
        <v/>
      </c>
      <c r="M45" s="25">
        <f>IF(I45&gt;0,0,L45)</f>
        <v/>
      </c>
      <c r="O45" s="25">
        <f>C45*$L45</f>
        <v/>
      </c>
      <c r="P45" s="25">
        <f>D45*$L45</f>
        <v/>
      </c>
      <c r="Q45" s="25">
        <f>E45*$L45</f>
        <v/>
      </c>
      <c r="R45" s="25">
        <f>F45*$L45</f>
        <v/>
      </c>
      <c r="S45" s="25">
        <f>G45*$L45</f>
        <v/>
      </c>
      <c r="T45" s="25">
        <f>H45*$L45</f>
        <v/>
      </c>
      <c r="V45" s="25" t="n"/>
      <c r="W45" s="25" t="n"/>
      <c r="X45" s="25" t="n"/>
      <c r="Y45" s="25" t="n"/>
      <c r="Z45" s="25" t="n"/>
      <c r="AA45" s="25" t="n"/>
    </row>
    <row r="46" ht="33" customHeight="1">
      <c r="A46" s="22" t="n">
        <v>34</v>
      </c>
      <c r="B46" s="26" t="n">
        <v>20</v>
      </c>
      <c r="C46" s="54">
        <f>IF(SUM($V46:$AA46), ROUND(V46/SUM($V46:$AA46), 2),0)</f>
        <v/>
      </c>
      <c r="D46" s="54">
        <f>IF(SUM($V46:$AA46), ROUND(W46/SUM($V46:$AA46), 2),0)</f>
        <v/>
      </c>
      <c r="E46" s="54">
        <f>IF(SUM($V46:$AA46), ROUND(X46/SUM($V46:$AA46), 2),0)</f>
        <v/>
      </c>
      <c r="F46" s="54">
        <f>IF(SUM($V46:$AA46), ROUND(Y46/SUM($V46:$AA46), 2),0)</f>
        <v/>
      </c>
      <c r="G46" s="54">
        <f>IF(SUM($V46:$AA46), ROUND(Z46/SUM($V46:$AA46), 2),0)</f>
        <v/>
      </c>
      <c r="H46" s="54">
        <f>IF(SUM($V46:$AA46), ROUND(AA46/SUM($V46:$AA46), 2),0)</f>
        <v/>
      </c>
      <c r="I46" s="24">
        <f>SUM(C46:H46)</f>
        <v/>
      </c>
      <c r="J46" s="24">
        <f>IF(I46&gt;0,0,B46)</f>
        <v/>
      </c>
      <c r="K46" s="24">
        <f>IF(I46&gt;0,B46,0)</f>
        <v/>
      </c>
      <c r="L46" s="25">
        <f>IF(B46&gt;0,(ABS(B46-$J$115)),0)</f>
        <v/>
      </c>
      <c r="M46" s="25">
        <f>IF(I46&gt;0,0,L46)</f>
        <v/>
      </c>
      <c r="O46" s="25">
        <f>C46*$L46</f>
        <v/>
      </c>
      <c r="P46" s="25">
        <f>D46*$L46</f>
        <v/>
      </c>
      <c r="Q46" s="25">
        <f>E46*$L46</f>
        <v/>
      </c>
      <c r="R46" s="25">
        <f>F46*$L46</f>
        <v/>
      </c>
      <c r="S46" s="25">
        <f>G46*$L46</f>
        <v/>
      </c>
      <c r="T46" s="25">
        <f>H46*$L46</f>
        <v/>
      </c>
      <c r="V46" s="25" t="n"/>
      <c r="W46" s="25" t="n"/>
      <c r="X46" s="25" t="n"/>
      <c r="Y46" s="25" t="n"/>
      <c r="Z46" s="25" t="n"/>
      <c r="AA46" s="25" t="n"/>
    </row>
    <row r="47" ht="33" customHeight="1">
      <c r="A47" s="22" t="n">
        <v>35</v>
      </c>
      <c r="B47" s="26" t="n">
        <v>21</v>
      </c>
      <c r="C47" s="54">
        <f>IF(SUM($V47:$AA47), ROUND(V47/SUM($V47:$AA47), 2),0)</f>
        <v/>
      </c>
      <c r="D47" s="54">
        <f>IF(SUM($V47:$AA47), ROUND(W47/SUM($V47:$AA47), 2),0)</f>
        <v/>
      </c>
      <c r="E47" s="54">
        <f>IF(SUM($V47:$AA47), ROUND(X47/SUM($V47:$AA47), 2),0)</f>
        <v/>
      </c>
      <c r="F47" s="54">
        <f>IF(SUM($V47:$AA47), ROUND(Y47/SUM($V47:$AA47), 2),0)</f>
        <v/>
      </c>
      <c r="G47" s="54">
        <f>IF(SUM($V47:$AA47), ROUND(Z47/SUM($V47:$AA47), 2),0)</f>
        <v/>
      </c>
      <c r="H47" s="54">
        <f>IF(SUM($V47:$AA47), ROUND(AA47/SUM($V47:$AA47), 2),0)</f>
        <v/>
      </c>
      <c r="I47" s="24">
        <f>SUM(C47:H47)</f>
        <v/>
      </c>
      <c r="J47" s="24">
        <f>IF(I47&gt;0,0,B47)</f>
        <v/>
      </c>
      <c r="K47" s="24">
        <f>IF(I47&gt;0,B47,0)</f>
        <v/>
      </c>
      <c r="L47" s="25">
        <f>IF(B47&gt;0,(ABS(B47-$J$115)),0)</f>
        <v/>
      </c>
      <c r="M47" s="25">
        <f>IF(I47&gt;0,0,L47)</f>
        <v/>
      </c>
      <c r="O47" s="25">
        <f>C47*$L47</f>
        <v/>
      </c>
      <c r="P47" s="25">
        <f>D47*$L47</f>
        <v/>
      </c>
      <c r="Q47" s="25">
        <f>E47*$L47</f>
        <v/>
      </c>
      <c r="R47" s="25">
        <f>F47*$L47</f>
        <v/>
      </c>
      <c r="S47" s="25">
        <f>G47*$L47</f>
        <v/>
      </c>
      <c r="T47" s="25">
        <f>H47*$L47</f>
        <v/>
      </c>
      <c r="V47" s="25" t="n"/>
      <c r="W47" s="25" t="n"/>
      <c r="X47" s="25" t="n"/>
      <c r="Y47" s="25" t="n"/>
      <c r="Z47" s="25" t="n"/>
      <c r="AA47" s="25" t="n"/>
    </row>
    <row r="48" ht="33" customHeight="1">
      <c r="A48" s="22" t="n">
        <v>36</v>
      </c>
      <c r="B48" s="26" t="n">
        <v>24</v>
      </c>
      <c r="C48" s="54">
        <f>IF(SUM($V48:$AA48), ROUND(V48/SUM($V48:$AA48), 2),0)</f>
        <v/>
      </c>
      <c r="D48" s="54">
        <f>IF(SUM($V48:$AA48), ROUND(W48/SUM($V48:$AA48), 2),0)</f>
        <v/>
      </c>
      <c r="E48" s="54">
        <f>IF(SUM($V48:$AA48), ROUND(X48/SUM($V48:$AA48), 2),0)</f>
        <v/>
      </c>
      <c r="F48" s="54">
        <f>IF(SUM($V48:$AA48), ROUND(Y48/SUM($V48:$AA48), 2),0)</f>
        <v/>
      </c>
      <c r="G48" s="54">
        <f>IF(SUM($V48:$AA48), ROUND(Z48/SUM($V48:$AA48), 2),0)</f>
        <v/>
      </c>
      <c r="H48" s="54">
        <f>IF(SUM($V48:$AA48), ROUND(AA48/SUM($V48:$AA48), 2),0)</f>
        <v/>
      </c>
      <c r="I48" s="24">
        <f>SUM(C48:H48)</f>
        <v/>
      </c>
      <c r="J48" s="24">
        <f>IF(I48&gt;0,0,B48)</f>
        <v/>
      </c>
      <c r="K48" s="24">
        <f>IF(I48&gt;0,B48,0)</f>
        <v/>
      </c>
      <c r="L48" s="25">
        <f>IF(B48&gt;0,(ABS(B48-$J$115)),0)</f>
        <v/>
      </c>
      <c r="M48" s="25">
        <f>IF(I48&gt;0,0,L48)</f>
        <v/>
      </c>
      <c r="O48" s="25">
        <f>C48*$L48</f>
        <v/>
      </c>
      <c r="P48" s="25">
        <f>D48*$L48</f>
        <v/>
      </c>
      <c r="Q48" s="25">
        <f>E48*$L48</f>
        <v/>
      </c>
      <c r="R48" s="25">
        <f>F48*$L48</f>
        <v/>
      </c>
      <c r="S48" s="25">
        <f>G48*$L48</f>
        <v/>
      </c>
      <c r="T48" s="25">
        <f>H48*$L48</f>
        <v/>
      </c>
      <c r="V48" s="25" t="n"/>
      <c r="W48" s="25" t="n"/>
      <c r="X48" s="25" t="n"/>
      <c r="Y48" s="25" t="n"/>
      <c r="Z48" s="25" t="n"/>
      <c r="AA48" s="25" t="n"/>
    </row>
    <row r="49" ht="33" customHeight="1">
      <c r="A49" s="22" t="n">
        <v>37</v>
      </c>
      <c r="B49" s="26" t="n">
        <v>24</v>
      </c>
      <c r="C49" s="54">
        <f>IF(SUM($V49:$AA49), ROUND(V49/SUM($V49:$AA49), 2),0)</f>
        <v/>
      </c>
      <c r="D49" s="54">
        <f>IF(SUM($V49:$AA49), ROUND(W49/SUM($V49:$AA49), 2),0)</f>
        <v/>
      </c>
      <c r="E49" s="54">
        <f>IF(SUM($V49:$AA49), ROUND(X49/SUM($V49:$AA49), 2),0)</f>
        <v/>
      </c>
      <c r="F49" s="54">
        <f>IF(SUM($V49:$AA49), ROUND(Y49/SUM($V49:$AA49), 2),0)</f>
        <v/>
      </c>
      <c r="G49" s="54">
        <f>IF(SUM($V49:$AA49), ROUND(Z49/SUM($V49:$AA49), 2),0)</f>
        <v/>
      </c>
      <c r="H49" s="54">
        <f>IF(SUM($V49:$AA49), ROUND(AA49/SUM($V49:$AA49), 2),0)</f>
        <v/>
      </c>
      <c r="I49" s="24">
        <f>SUM(C49:H49)</f>
        <v/>
      </c>
      <c r="J49" s="24">
        <f>IF(I49&gt;0,0,B49)</f>
        <v/>
      </c>
      <c r="K49" s="24">
        <f>IF(I49&gt;0,B49,0)</f>
        <v/>
      </c>
      <c r="L49" s="25">
        <f>IF(B49&gt;0,(ABS(B49-$J$115)),0)</f>
        <v/>
      </c>
      <c r="M49" s="25">
        <f>IF(I49&gt;0,0,L49)</f>
        <v/>
      </c>
      <c r="O49" s="25">
        <f>C49*$L49</f>
        <v/>
      </c>
      <c r="P49" s="25">
        <f>D49*$L49</f>
        <v/>
      </c>
      <c r="Q49" s="25">
        <f>E49*$L49</f>
        <v/>
      </c>
      <c r="R49" s="25">
        <f>F49*$L49</f>
        <v/>
      </c>
      <c r="S49" s="25">
        <f>G49*$L49</f>
        <v/>
      </c>
      <c r="T49" s="25">
        <f>H49*$L49</f>
        <v/>
      </c>
      <c r="V49" s="25" t="n"/>
      <c r="W49" s="25" t="n"/>
      <c r="X49" s="25" t="n"/>
      <c r="Y49" s="25" t="n"/>
      <c r="Z49" s="25" t="n"/>
      <c r="AA49" s="25" t="n"/>
    </row>
    <row r="50" ht="33" customHeight="1">
      <c r="A50" s="22" t="n">
        <v>38</v>
      </c>
      <c r="B50" s="26" t="n">
        <v>29</v>
      </c>
      <c r="C50" s="54">
        <f>IF(SUM($V50:$AA50), ROUND(V50/SUM($V50:$AA50), 2),0)</f>
        <v/>
      </c>
      <c r="D50" s="54">
        <f>IF(SUM($V50:$AA50), ROUND(W50/SUM($V50:$AA50), 2),0)</f>
        <v/>
      </c>
      <c r="E50" s="54">
        <f>IF(SUM($V50:$AA50), ROUND(X50/SUM($V50:$AA50), 2),0)</f>
        <v/>
      </c>
      <c r="F50" s="54">
        <f>IF(SUM($V50:$AA50), ROUND(Y50/SUM($V50:$AA50), 2),0)</f>
        <v/>
      </c>
      <c r="G50" s="54">
        <f>IF(SUM($V50:$AA50), ROUND(Z50/SUM($V50:$AA50), 2),0)</f>
        <v/>
      </c>
      <c r="H50" s="54">
        <f>IF(SUM($V50:$AA50), ROUND(AA50/SUM($V50:$AA50), 2),0)</f>
        <v/>
      </c>
      <c r="I50" s="24">
        <f>SUM(C50:H50)</f>
        <v/>
      </c>
      <c r="J50" s="24">
        <f>IF(I50&gt;0,0,B50)</f>
        <v/>
      </c>
      <c r="K50" s="24">
        <f>IF(I50&gt;0,B50,0)</f>
        <v/>
      </c>
      <c r="L50" s="25">
        <f>IF(B50&gt;0,(ABS(B50-$J$115)),0)</f>
        <v/>
      </c>
      <c r="M50" s="25">
        <f>IF(I50&gt;0,0,L50)</f>
        <v/>
      </c>
      <c r="O50" s="25">
        <f>C50*$L50</f>
        <v/>
      </c>
      <c r="P50" s="25">
        <f>D50*$L50</f>
        <v/>
      </c>
      <c r="Q50" s="25">
        <f>E50*$L50</f>
        <v/>
      </c>
      <c r="R50" s="25">
        <f>F50*$L50</f>
        <v/>
      </c>
      <c r="S50" s="25">
        <f>G50*$L50</f>
        <v/>
      </c>
      <c r="T50" s="25">
        <f>H50*$L50</f>
        <v/>
      </c>
      <c r="V50" s="25" t="n"/>
      <c r="W50" s="25" t="n"/>
      <c r="X50" s="25" t="n"/>
      <c r="Y50" s="25" t="n"/>
      <c r="Z50" s="25" t="n"/>
      <c r="AA50" s="25" t="n"/>
    </row>
    <row r="51" ht="33" customHeight="1">
      <c r="A51" s="22" t="n">
        <v>39</v>
      </c>
      <c r="B51" s="26" t="n">
        <v>27</v>
      </c>
      <c r="C51" s="54">
        <f>IF(SUM($V51:$AA51), ROUND(V51/SUM($V51:$AA51), 2),0)</f>
        <v/>
      </c>
      <c r="D51" s="54">
        <f>IF(SUM($V51:$AA51), ROUND(W51/SUM($V51:$AA51), 2),0)</f>
        <v/>
      </c>
      <c r="E51" s="54">
        <f>IF(SUM($V51:$AA51), ROUND(X51/SUM($V51:$AA51), 2),0)</f>
        <v/>
      </c>
      <c r="F51" s="54">
        <f>IF(SUM($V51:$AA51), ROUND(Y51/SUM($V51:$AA51), 2),0)</f>
        <v/>
      </c>
      <c r="G51" s="54">
        <f>IF(SUM($V51:$AA51), ROUND(Z51/SUM($V51:$AA51), 2),0)</f>
        <v/>
      </c>
      <c r="H51" s="54">
        <f>IF(SUM($V51:$AA51), ROUND(AA51/SUM($V51:$AA51), 2),0)</f>
        <v/>
      </c>
      <c r="I51" s="24">
        <f>SUM(C51:H51)</f>
        <v/>
      </c>
      <c r="J51" s="24">
        <f>IF(I51&gt;0,0,B51)</f>
        <v/>
      </c>
      <c r="K51" s="24">
        <f>IF(I51&gt;0,B51,0)</f>
        <v/>
      </c>
      <c r="L51" s="25">
        <f>IF(B51&gt;0,(ABS(B51-$J$115)),0)</f>
        <v/>
      </c>
      <c r="M51" s="25">
        <f>IF(I51&gt;0,0,L51)</f>
        <v/>
      </c>
      <c r="O51" s="25">
        <f>C51*$L51</f>
        <v/>
      </c>
      <c r="P51" s="25">
        <f>D51*$L51</f>
        <v/>
      </c>
      <c r="Q51" s="25">
        <f>E51*$L51</f>
        <v/>
      </c>
      <c r="R51" s="25">
        <f>F51*$L51</f>
        <v/>
      </c>
      <c r="S51" s="25">
        <f>G51*$L51</f>
        <v/>
      </c>
      <c r="T51" s="25">
        <f>H51*$L51</f>
        <v/>
      </c>
      <c r="V51" s="25" t="n"/>
      <c r="W51" s="25" t="n"/>
      <c r="X51" s="25" t="n"/>
      <c r="Y51" s="25" t="n"/>
      <c r="Z51" s="25" t="n"/>
      <c r="AA51" s="25" t="n"/>
    </row>
    <row r="52" ht="33" customHeight="1">
      <c r="A52" s="22" t="n">
        <v>40</v>
      </c>
      <c r="B52" s="26" t="n">
        <v>18</v>
      </c>
      <c r="C52" s="54">
        <f>IF(SUM($V52:$AA52), ROUND(V52/SUM($V52:$AA52), 2),0)</f>
        <v/>
      </c>
      <c r="D52" s="54">
        <f>IF(SUM($V52:$AA52), ROUND(W52/SUM($V52:$AA52), 2),0)</f>
        <v/>
      </c>
      <c r="E52" s="54">
        <f>IF(SUM($V52:$AA52), ROUND(X52/SUM($V52:$AA52), 2),0)</f>
        <v/>
      </c>
      <c r="F52" s="54">
        <f>IF(SUM($V52:$AA52), ROUND(Y52/SUM($V52:$AA52), 2),0)</f>
        <v/>
      </c>
      <c r="G52" s="54">
        <f>IF(SUM($V52:$AA52), ROUND(Z52/SUM($V52:$AA52), 2),0)</f>
        <v/>
      </c>
      <c r="H52" s="54">
        <f>IF(SUM($V52:$AA52), ROUND(AA52/SUM($V52:$AA52), 2),0)</f>
        <v/>
      </c>
      <c r="I52" s="24">
        <f>SUM(C52:H52)</f>
        <v/>
      </c>
      <c r="J52" s="24">
        <f>IF(I52&gt;0,0,B52)</f>
        <v/>
      </c>
      <c r="K52" s="24">
        <f>IF(I52&gt;0,B52,0)</f>
        <v/>
      </c>
      <c r="L52" s="25">
        <f>IF(B52&gt;0,(ABS(B52-$J$115)),0)</f>
        <v/>
      </c>
      <c r="M52" s="25">
        <f>IF(I52&gt;0,0,L52)</f>
        <v/>
      </c>
      <c r="O52" s="25">
        <f>C52*$L52</f>
        <v/>
      </c>
      <c r="P52" s="25">
        <f>D52*$L52</f>
        <v/>
      </c>
      <c r="Q52" s="25">
        <f>E52*$L52</f>
        <v/>
      </c>
      <c r="R52" s="25">
        <f>F52*$L52</f>
        <v/>
      </c>
      <c r="S52" s="25">
        <f>G52*$L52</f>
        <v/>
      </c>
      <c r="T52" s="25">
        <f>H52*$L52</f>
        <v/>
      </c>
      <c r="V52" s="25" t="n"/>
      <c r="W52" s="25" t="n"/>
      <c r="X52" s="25" t="n"/>
      <c r="Y52" s="25" t="n"/>
      <c r="Z52" s="25" t="n"/>
      <c r="AA52" s="25" t="n"/>
    </row>
    <row r="53" ht="33" customHeight="1">
      <c r="A53" s="22" t="n">
        <v>41</v>
      </c>
      <c r="B53" s="26" t="n">
        <v>19</v>
      </c>
      <c r="C53" s="54">
        <f>IF(SUM($V53:$AA53), ROUND(V53/SUM($V53:$AA53), 2),0)</f>
        <v/>
      </c>
      <c r="D53" s="54">
        <f>IF(SUM($V53:$AA53), ROUND(W53/SUM($V53:$AA53), 2),0)</f>
        <v/>
      </c>
      <c r="E53" s="54">
        <f>IF(SUM($V53:$AA53), ROUND(X53/SUM($V53:$AA53), 2),0)</f>
        <v/>
      </c>
      <c r="F53" s="54">
        <f>IF(SUM($V53:$AA53), ROUND(Y53/SUM($V53:$AA53), 2),0)</f>
        <v/>
      </c>
      <c r="G53" s="54">
        <f>IF(SUM($V53:$AA53), ROUND(Z53/SUM($V53:$AA53), 2),0)</f>
        <v/>
      </c>
      <c r="H53" s="54">
        <f>IF(SUM($V53:$AA53), ROUND(AA53/SUM($V53:$AA53), 2),0)</f>
        <v/>
      </c>
      <c r="I53" s="24">
        <f>SUM(C53:H53)</f>
        <v/>
      </c>
      <c r="J53" s="24">
        <f>IF(I53&gt;0,0,B53)</f>
        <v/>
      </c>
      <c r="K53" s="24">
        <f>IF(I53&gt;0,B53,0)</f>
        <v/>
      </c>
      <c r="L53" s="25">
        <f>IF(B53&gt;0,(ABS(B53-$J$115)),0)</f>
        <v/>
      </c>
      <c r="M53" s="25">
        <f>IF(I53&gt;0,0,L53)</f>
        <v/>
      </c>
      <c r="O53" s="25">
        <f>C53*$L53</f>
        <v/>
      </c>
      <c r="P53" s="25">
        <f>D53*$L53</f>
        <v/>
      </c>
      <c r="Q53" s="25">
        <f>E53*$L53</f>
        <v/>
      </c>
      <c r="R53" s="25">
        <f>F53*$L53</f>
        <v/>
      </c>
      <c r="S53" s="25">
        <f>G53*$L53</f>
        <v/>
      </c>
      <c r="T53" s="25">
        <f>H53*$L53</f>
        <v/>
      </c>
      <c r="V53" s="25" t="n"/>
      <c r="W53" s="25" t="n"/>
      <c r="X53" s="25" t="n"/>
      <c r="Y53" s="25" t="n"/>
      <c r="Z53" s="25" t="n"/>
      <c r="AA53" s="25" t="n"/>
    </row>
    <row r="54" ht="33" customHeight="1">
      <c r="A54" s="22" t="n">
        <v>42</v>
      </c>
      <c r="B54" s="26" t="n">
        <v>22</v>
      </c>
      <c r="C54" s="54">
        <f>IF(SUM($V54:$AA54), ROUND(V54/SUM($V54:$AA54), 2),0)</f>
        <v/>
      </c>
      <c r="D54" s="54">
        <f>IF(SUM($V54:$AA54), ROUND(W54/SUM($V54:$AA54), 2),0)</f>
        <v/>
      </c>
      <c r="E54" s="54">
        <f>IF(SUM($V54:$AA54), ROUND(X54/SUM($V54:$AA54), 2),0)</f>
        <v/>
      </c>
      <c r="F54" s="54">
        <f>IF(SUM($V54:$AA54), ROUND(Y54/SUM($V54:$AA54), 2),0)</f>
        <v/>
      </c>
      <c r="G54" s="54">
        <f>IF(SUM($V54:$AA54), ROUND(Z54/SUM($V54:$AA54), 2),0)</f>
        <v/>
      </c>
      <c r="H54" s="54">
        <f>IF(SUM($V54:$AA54), ROUND(AA54/SUM($V54:$AA54), 2),0)</f>
        <v/>
      </c>
      <c r="I54" s="24">
        <f>SUM(C54:H54)</f>
        <v/>
      </c>
      <c r="J54" s="24">
        <f>IF(I54&gt;0,0,B54)</f>
        <v/>
      </c>
      <c r="K54" s="24">
        <f>IF(I54&gt;0,B54,0)</f>
        <v/>
      </c>
      <c r="L54" s="25">
        <f>IF(B54&gt;0,(ABS(B54-$J$115)),0)</f>
        <v/>
      </c>
      <c r="M54" s="25">
        <f>IF(I54&gt;0,0,L54)</f>
        <v/>
      </c>
      <c r="O54" s="25">
        <f>C54*$L54</f>
        <v/>
      </c>
      <c r="P54" s="25">
        <f>D54*$L54</f>
        <v/>
      </c>
      <c r="Q54" s="25">
        <f>E54*$L54</f>
        <v/>
      </c>
      <c r="R54" s="25">
        <f>F54*$L54</f>
        <v/>
      </c>
      <c r="S54" s="25">
        <f>G54*$L54</f>
        <v/>
      </c>
      <c r="T54" s="25">
        <f>H54*$L54</f>
        <v/>
      </c>
      <c r="V54" s="25" t="n"/>
      <c r="W54" s="25" t="n"/>
      <c r="X54" s="25" t="n"/>
      <c r="Y54" s="25" t="n"/>
      <c r="Z54" s="25" t="n"/>
      <c r="AA54" s="25" t="n"/>
    </row>
    <row r="55" ht="33" customHeight="1">
      <c r="A55" s="22" t="n">
        <v>43</v>
      </c>
      <c r="B55" s="26" t="n">
        <v>34</v>
      </c>
      <c r="C55" s="54">
        <f>IF(SUM($V55:$AA55), ROUND(V55/SUM($V55:$AA55), 2),0)</f>
        <v/>
      </c>
      <c r="D55" s="54">
        <f>IF(SUM($V55:$AA55), ROUND(W55/SUM($V55:$AA55), 2),0)</f>
        <v/>
      </c>
      <c r="E55" s="54">
        <f>IF(SUM($V55:$AA55), ROUND(X55/SUM($V55:$AA55), 2),0)</f>
        <v/>
      </c>
      <c r="F55" s="54">
        <f>IF(SUM($V55:$AA55), ROUND(Y55/SUM($V55:$AA55), 2),0)</f>
        <v/>
      </c>
      <c r="G55" s="54">
        <f>IF(SUM($V55:$AA55), ROUND(Z55/SUM($V55:$AA55), 2),0)</f>
        <v/>
      </c>
      <c r="H55" s="54">
        <f>IF(SUM($V55:$AA55), ROUND(AA55/SUM($V55:$AA55), 2),0)</f>
        <v/>
      </c>
      <c r="I55" s="24">
        <f>SUM(C55:H55)</f>
        <v/>
      </c>
      <c r="J55" s="24">
        <f>IF(I55&gt;0,0,B55)</f>
        <v/>
      </c>
      <c r="K55" s="24">
        <f>IF(I55&gt;0,B55,0)</f>
        <v/>
      </c>
      <c r="L55" s="25">
        <f>IF(B55&gt;0,(ABS(B55-$J$115)),0)</f>
        <v/>
      </c>
      <c r="M55" s="25">
        <f>IF(I55&gt;0,0,L55)</f>
        <v/>
      </c>
      <c r="O55" s="25">
        <f>C55*$L55</f>
        <v/>
      </c>
      <c r="P55" s="25">
        <f>D55*$L55</f>
        <v/>
      </c>
      <c r="Q55" s="25">
        <f>E55*$L55</f>
        <v/>
      </c>
      <c r="R55" s="25">
        <f>F55*$L55</f>
        <v/>
      </c>
      <c r="S55" s="25">
        <f>G55*$L55</f>
        <v/>
      </c>
      <c r="T55" s="25">
        <f>H55*$L55</f>
        <v/>
      </c>
      <c r="V55" s="25" t="n"/>
      <c r="W55" s="25" t="n"/>
      <c r="X55" s="25" t="n"/>
      <c r="Y55" s="25" t="n"/>
      <c r="Z55" s="25" t="n"/>
      <c r="AA55" s="25" t="n"/>
    </row>
    <row r="56" ht="33" customHeight="1">
      <c r="A56" s="22" t="n">
        <v>44</v>
      </c>
      <c r="B56" s="26" t="n">
        <v>23</v>
      </c>
      <c r="C56" s="54">
        <f>IF(SUM($V56:$AA56), ROUND(V56/SUM($V56:$AA56), 2),0)</f>
        <v/>
      </c>
      <c r="D56" s="54">
        <f>IF(SUM($V56:$AA56), ROUND(W56/SUM($V56:$AA56), 2),0)</f>
        <v/>
      </c>
      <c r="E56" s="54">
        <f>IF(SUM($V56:$AA56), ROUND(X56/SUM($V56:$AA56), 2),0)</f>
        <v/>
      </c>
      <c r="F56" s="54">
        <f>IF(SUM($V56:$AA56), ROUND(Y56/SUM($V56:$AA56), 2),0)</f>
        <v/>
      </c>
      <c r="G56" s="54">
        <f>IF(SUM($V56:$AA56), ROUND(Z56/SUM($V56:$AA56), 2),0)</f>
        <v/>
      </c>
      <c r="H56" s="54">
        <f>IF(SUM($V56:$AA56), ROUND(AA56/SUM($V56:$AA56), 2),0)</f>
        <v/>
      </c>
      <c r="I56" s="24">
        <f>SUM(C56:H56)</f>
        <v/>
      </c>
      <c r="J56" s="24">
        <f>IF(I56&gt;0,0,B56)</f>
        <v/>
      </c>
      <c r="K56" s="24">
        <f>IF(I56&gt;0,B56,0)</f>
        <v/>
      </c>
      <c r="L56" s="25">
        <f>IF(B56&gt;0,(ABS(B56-$J$115)),0)</f>
        <v/>
      </c>
      <c r="M56" s="25">
        <f>IF(I56&gt;0,0,L56)</f>
        <v/>
      </c>
      <c r="O56" s="25">
        <f>C56*$L56</f>
        <v/>
      </c>
      <c r="P56" s="25">
        <f>D56*$L56</f>
        <v/>
      </c>
      <c r="Q56" s="25">
        <f>E56*$L56</f>
        <v/>
      </c>
      <c r="R56" s="25">
        <f>F56*$L56</f>
        <v/>
      </c>
      <c r="S56" s="25">
        <f>G56*$L56</f>
        <v/>
      </c>
      <c r="T56" s="25">
        <f>H56*$L56</f>
        <v/>
      </c>
      <c r="V56" s="25" t="n"/>
      <c r="W56" s="25" t="n"/>
      <c r="X56" s="25" t="n"/>
      <c r="Y56" s="25" t="n"/>
      <c r="Z56" s="25" t="n"/>
      <c r="AA56" s="25" t="n"/>
    </row>
    <row r="57" ht="33" customHeight="1">
      <c r="A57" s="22" t="n">
        <v>45</v>
      </c>
      <c r="B57" s="26" t="n">
        <v>29</v>
      </c>
      <c r="C57" s="54">
        <f>IF(SUM($V57:$AA57), ROUND(V57/SUM($V57:$AA57), 2),0)</f>
        <v/>
      </c>
      <c r="D57" s="54">
        <f>IF(SUM($V57:$AA57), ROUND(W57/SUM($V57:$AA57), 2),0)</f>
        <v/>
      </c>
      <c r="E57" s="54">
        <f>IF(SUM($V57:$AA57), ROUND(X57/SUM($V57:$AA57), 2),0)</f>
        <v/>
      </c>
      <c r="F57" s="54">
        <f>IF(SUM($V57:$AA57), ROUND(Y57/SUM($V57:$AA57), 2),0)</f>
        <v/>
      </c>
      <c r="G57" s="54">
        <f>IF(SUM($V57:$AA57), ROUND(Z57/SUM($V57:$AA57), 2),0)</f>
        <v/>
      </c>
      <c r="H57" s="54">
        <f>IF(SUM($V57:$AA57), ROUND(AA57/SUM($V57:$AA57), 2),0)</f>
        <v/>
      </c>
      <c r="I57" s="24">
        <f>SUM(C57:H57)</f>
        <v/>
      </c>
      <c r="J57" s="24">
        <f>IF(I57&gt;0,0,B57)</f>
        <v/>
      </c>
      <c r="K57" s="24">
        <f>IF(I57&gt;0,B57,0)</f>
        <v/>
      </c>
      <c r="L57" s="25">
        <f>IF(B57&gt;0,(ABS(B57-$J$115)),0)</f>
        <v/>
      </c>
      <c r="M57" s="25">
        <f>IF(I57&gt;0,0,L57)</f>
        <v/>
      </c>
      <c r="O57" s="25">
        <f>C57*$L57</f>
        <v/>
      </c>
      <c r="P57" s="25">
        <f>D57*$L57</f>
        <v/>
      </c>
      <c r="Q57" s="25">
        <f>E57*$L57</f>
        <v/>
      </c>
      <c r="R57" s="25">
        <f>F57*$L57</f>
        <v/>
      </c>
      <c r="S57" s="25">
        <f>G57*$L57</f>
        <v/>
      </c>
      <c r="T57" s="25">
        <f>H57*$L57</f>
        <v/>
      </c>
      <c r="V57" s="25" t="n"/>
      <c r="W57" s="25" t="n"/>
      <c r="X57" s="25" t="n"/>
      <c r="Y57" s="25" t="n"/>
      <c r="Z57" s="25" t="n"/>
      <c r="AA57" s="25" t="n"/>
    </row>
    <row r="58" ht="33" customHeight="1">
      <c r="A58" s="22" t="n">
        <v>46</v>
      </c>
      <c r="B58" s="26" t="n">
        <v>74</v>
      </c>
      <c r="C58" s="54">
        <f>IF(SUM($V58:$AA58), ROUND(V58/SUM($V58:$AA58), 2),0)</f>
        <v/>
      </c>
      <c r="D58" s="54">
        <f>IF(SUM($V58:$AA58), ROUND(W58/SUM($V58:$AA58), 2),0)</f>
        <v/>
      </c>
      <c r="E58" s="54">
        <f>IF(SUM($V58:$AA58), ROUND(X58/SUM($V58:$AA58), 2),0)</f>
        <v/>
      </c>
      <c r="F58" s="54">
        <f>IF(SUM($V58:$AA58), ROUND(Y58/SUM($V58:$AA58), 2),0)</f>
        <v/>
      </c>
      <c r="G58" s="54">
        <f>IF(SUM($V58:$AA58), ROUND(Z58/SUM($V58:$AA58), 2),0)</f>
        <v/>
      </c>
      <c r="H58" s="54">
        <f>IF(SUM($V58:$AA58), ROUND(AA58/SUM($V58:$AA58), 2),0)</f>
        <v/>
      </c>
      <c r="I58" s="24">
        <f>SUM(C58:H58)</f>
        <v/>
      </c>
      <c r="J58" s="24">
        <f>IF(I58&gt;0,0,B58)</f>
        <v/>
      </c>
      <c r="K58" s="24">
        <f>IF(I58&gt;0,B58,0)</f>
        <v/>
      </c>
      <c r="L58" s="25">
        <f>IF(B58&gt;0,(ABS(B58-$J$115)),0)</f>
        <v/>
      </c>
      <c r="M58" s="25">
        <f>IF(I58&gt;0,0,L58)</f>
        <v/>
      </c>
      <c r="O58" s="25">
        <f>C58*$L58</f>
        <v/>
      </c>
      <c r="P58" s="25">
        <f>D58*$L58</f>
        <v/>
      </c>
      <c r="Q58" s="25">
        <f>E58*$L58</f>
        <v/>
      </c>
      <c r="R58" s="25">
        <f>F58*$L58</f>
        <v/>
      </c>
      <c r="S58" s="25">
        <f>G58*$L58</f>
        <v/>
      </c>
      <c r="T58" s="25">
        <f>H58*$L58</f>
        <v/>
      </c>
      <c r="V58" s="25" t="n"/>
      <c r="W58" s="25" t="n"/>
      <c r="X58" s="25" t="n"/>
      <c r="Y58" s="25" t="n">
        <v>52</v>
      </c>
      <c r="Z58" s="25" t="n"/>
      <c r="AA58" s="25" t="n"/>
    </row>
    <row r="59" ht="33" customHeight="1">
      <c r="A59" s="22" t="n">
        <v>47</v>
      </c>
      <c r="B59" s="26" t="n">
        <v>16</v>
      </c>
      <c r="C59" s="54">
        <f>IF(SUM($V59:$AA59), ROUND(V59/SUM($V59:$AA59), 2),0)</f>
        <v/>
      </c>
      <c r="D59" s="54">
        <f>IF(SUM($V59:$AA59), ROUND(W59/SUM($V59:$AA59), 2),0)</f>
        <v/>
      </c>
      <c r="E59" s="54">
        <f>IF(SUM($V59:$AA59), ROUND(X59/SUM($V59:$AA59), 2),0)</f>
        <v/>
      </c>
      <c r="F59" s="54">
        <f>IF(SUM($V59:$AA59), ROUND(Y59/SUM($V59:$AA59), 2),0)</f>
        <v/>
      </c>
      <c r="G59" s="54">
        <f>IF(SUM($V59:$AA59), ROUND(Z59/SUM($V59:$AA59), 2),0)</f>
        <v/>
      </c>
      <c r="H59" s="54">
        <f>IF(SUM($V59:$AA59), ROUND(AA59/SUM($V59:$AA59), 2),0)</f>
        <v/>
      </c>
      <c r="I59" s="24">
        <f>SUM(C59:H59)</f>
        <v/>
      </c>
      <c r="J59" s="24">
        <f>IF(I59&gt;0,0,B59)</f>
        <v/>
      </c>
      <c r="K59" s="24">
        <f>IF(I59&gt;0,B59,0)</f>
        <v/>
      </c>
      <c r="L59" s="25">
        <f>IF(B59&gt;0,(ABS(B59-$J$115)),0)</f>
        <v/>
      </c>
      <c r="M59" s="25">
        <f>IF(I59&gt;0,0,L59)</f>
        <v/>
      </c>
      <c r="O59" s="25">
        <f>C59*$L59</f>
        <v/>
      </c>
      <c r="P59" s="25">
        <f>D59*$L59</f>
        <v/>
      </c>
      <c r="Q59" s="25">
        <f>E59*$L59</f>
        <v/>
      </c>
      <c r="R59" s="25">
        <f>F59*$L59</f>
        <v/>
      </c>
      <c r="S59" s="25">
        <f>G59*$L59</f>
        <v/>
      </c>
      <c r="T59" s="25">
        <f>H59*$L59</f>
        <v/>
      </c>
      <c r="V59" s="25" t="n"/>
      <c r="W59" s="25" t="n"/>
      <c r="X59" s="25" t="n"/>
      <c r="Y59" s="25" t="n"/>
      <c r="Z59" s="25" t="n"/>
      <c r="AA59" s="25" t="n"/>
    </row>
    <row r="60" ht="33" customHeight="1">
      <c r="A60" s="22" t="n">
        <v>48</v>
      </c>
      <c r="B60" s="26" t="n">
        <v>16</v>
      </c>
      <c r="C60" s="54">
        <f>IF(SUM($V60:$AA60), ROUND(V60/SUM($V60:$AA60), 2),0)</f>
        <v/>
      </c>
      <c r="D60" s="54">
        <f>IF(SUM($V60:$AA60), ROUND(W60/SUM($V60:$AA60), 2),0)</f>
        <v/>
      </c>
      <c r="E60" s="54">
        <f>IF(SUM($V60:$AA60), ROUND(X60/SUM($V60:$AA60), 2),0)</f>
        <v/>
      </c>
      <c r="F60" s="54">
        <f>IF(SUM($V60:$AA60), ROUND(Y60/SUM($V60:$AA60), 2),0)</f>
        <v/>
      </c>
      <c r="G60" s="54">
        <f>IF(SUM($V60:$AA60), ROUND(Z60/SUM($V60:$AA60), 2),0)</f>
        <v/>
      </c>
      <c r="H60" s="54">
        <f>IF(SUM($V60:$AA60), ROUND(AA60/SUM($V60:$AA60), 2),0)</f>
        <v/>
      </c>
      <c r="I60" s="24">
        <f>SUM(C60:H60)</f>
        <v/>
      </c>
      <c r="J60" s="24">
        <f>IF(I60&gt;0,0,B60)</f>
        <v/>
      </c>
      <c r="K60" s="24">
        <f>IF(I60&gt;0,B60,0)</f>
        <v/>
      </c>
      <c r="L60" s="25">
        <f>IF(B60&gt;0,(ABS(B60-$J$115)),0)</f>
        <v/>
      </c>
      <c r="M60" s="25">
        <f>IF(I60&gt;0,0,L60)</f>
        <v/>
      </c>
      <c r="O60" s="25">
        <f>C60*$L60</f>
        <v/>
      </c>
      <c r="P60" s="25">
        <f>D60*$L60</f>
        <v/>
      </c>
      <c r="Q60" s="25">
        <f>E60*$L60</f>
        <v/>
      </c>
      <c r="R60" s="25">
        <f>F60*$L60</f>
        <v/>
      </c>
      <c r="S60" s="25">
        <f>G60*$L60</f>
        <v/>
      </c>
      <c r="T60" s="25">
        <f>H60*$L60</f>
        <v/>
      </c>
      <c r="V60" s="25" t="n"/>
      <c r="W60" s="25" t="n"/>
      <c r="X60" s="25" t="n"/>
      <c r="Y60" s="25" t="n"/>
      <c r="Z60" s="25" t="n"/>
      <c r="AA60" s="25" t="n"/>
    </row>
    <row r="61" ht="33" customHeight="1">
      <c r="A61" s="22" t="n">
        <v>49</v>
      </c>
      <c r="B61" s="26" t="n">
        <v>19</v>
      </c>
      <c r="C61" s="54">
        <f>IF(SUM($V61:$AA61), ROUND(V61/SUM($V61:$AA61), 2),0)</f>
        <v/>
      </c>
      <c r="D61" s="54">
        <f>IF(SUM($V61:$AA61), ROUND(W61/SUM($V61:$AA61), 2),0)</f>
        <v/>
      </c>
      <c r="E61" s="54">
        <f>IF(SUM($V61:$AA61), ROUND(X61/SUM($V61:$AA61), 2),0)</f>
        <v/>
      </c>
      <c r="F61" s="54">
        <f>IF(SUM($V61:$AA61), ROUND(Y61/SUM($V61:$AA61), 2),0)</f>
        <v/>
      </c>
      <c r="G61" s="54">
        <f>IF(SUM($V61:$AA61), ROUND(Z61/SUM($V61:$AA61), 2),0)</f>
        <v/>
      </c>
      <c r="H61" s="54">
        <f>IF(SUM($V61:$AA61), ROUND(AA61/SUM($V61:$AA61), 2),0)</f>
        <v/>
      </c>
      <c r="I61" s="24">
        <f>SUM(C61:H61)</f>
        <v/>
      </c>
      <c r="J61" s="24">
        <f>IF(I61&gt;0,0,B61)</f>
        <v/>
      </c>
      <c r="K61" s="24">
        <f>IF(I61&gt;0,B61,0)</f>
        <v/>
      </c>
      <c r="L61" s="25">
        <f>IF(B61&gt;0,(ABS(B61-$J$115)),0)</f>
        <v/>
      </c>
      <c r="M61" s="25">
        <f>IF(I61&gt;0,0,L61)</f>
        <v/>
      </c>
      <c r="O61" s="25">
        <f>C61*$L61</f>
        <v/>
      </c>
      <c r="P61" s="25">
        <f>D61*$L61</f>
        <v/>
      </c>
      <c r="Q61" s="25">
        <f>E61*$L61</f>
        <v/>
      </c>
      <c r="R61" s="25">
        <f>F61*$L61</f>
        <v/>
      </c>
      <c r="S61" s="25">
        <f>G61*$L61</f>
        <v/>
      </c>
      <c r="T61" s="25">
        <f>H61*$L61</f>
        <v/>
      </c>
      <c r="V61" s="25" t="n"/>
      <c r="W61" s="25" t="n"/>
      <c r="X61" s="25" t="n"/>
      <c r="Y61" s="25" t="n"/>
      <c r="Z61" s="25" t="n"/>
      <c r="AA61" s="25" t="n"/>
    </row>
    <row r="62" ht="33" customHeight="1">
      <c r="A62" s="22" t="n">
        <v>50</v>
      </c>
      <c r="B62" s="26" t="n">
        <v>22</v>
      </c>
      <c r="C62" s="54">
        <f>IF(SUM($V62:$AA62), ROUND(V62/SUM($V62:$AA62), 2),0)</f>
        <v/>
      </c>
      <c r="D62" s="54">
        <f>IF(SUM($V62:$AA62), ROUND(W62/SUM($V62:$AA62), 2),0)</f>
        <v/>
      </c>
      <c r="E62" s="54">
        <f>IF(SUM($V62:$AA62), ROUND(X62/SUM($V62:$AA62), 2),0)</f>
        <v/>
      </c>
      <c r="F62" s="54">
        <f>IF(SUM($V62:$AA62), ROUND(Y62/SUM($V62:$AA62), 2),0)</f>
        <v/>
      </c>
      <c r="G62" s="54">
        <f>IF(SUM($V62:$AA62), ROUND(Z62/SUM($V62:$AA62), 2),0)</f>
        <v/>
      </c>
      <c r="H62" s="54">
        <f>IF(SUM($V62:$AA62), ROUND(AA62/SUM($V62:$AA62), 2),0)</f>
        <v/>
      </c>
      <c r="I62" s="24">
        <f>SUM(C62:H62)</f>
        <v/>
      </c>
      <c r="J62" s="24">
        <f>IF(I62&gt;0,0,B62)</f>
        <v/>
      </c>
      <c r="K62" s="24">
        <f>IF(I62&gt;0,B62,0)</f>
        <v/>
      </c>
      <c r="L62" s="25">
        <f>IF(B62&gt;0,(ABS(B62-$J$115)),0)</f>
        <v/>
      </c>
      <c r="M62" s="25">
        <f>IF(I62&gt;0,0,L62)</f>
        <v/>
      </c>
      <c r="O62" s="25">
        <f>C62*$L62</f>
        <v/>
      </c>
      <c r="P62" s="25">
        <f>D62*$L62</f>
        <v/>
      </c>
      <c r="Q62" s="25">
        <f>E62*$L62</f>
        <v/>
      </c>
      <c r="R62" s="25">
        <f>F62*$L62</f>
        <v/>
      </c>
      <c r="S62" s="25">
        <f>G62*$L62</f>
        <v/>
      </c>
      <c r="T62" s="25">
        <f>H62*$L62</f>
        <v/>
      </c>
      <c r="V62" s="25" t="n"/>
      <c r="W62" s="25" t="n"/>
      <c r="X62" s="25" t="n"/>
      <c r="Y62" s="25" t="n"/>
      <c r="Z62" s="25" t="n"/>
      <c r="AA62" s="25" t="n"/>
    </row>
    <row r="63" ht="33" customHeight="1">
      <c r="A63" s="22" t="n">
        <v>51</v>
      </c>
      <c r="B63" s="26" t="n">
        <v>16</v>
      </c>
      <c r="C63" s="54">
        <f>IF(SUM($V63:$AA63), ROUND(V63/SUM($V63:$AA63), 2),0)</f>
        <v/>
      </c>
      <c r="D63" s="54">
        <f>IF(SUM($V63:$AA63), ROUND(W63/SUM($V63:$AA63), 2),0)</f>
        <v/>
      </c>
      <c r="E63" s="54">
        <f>IF(SUM($V63:$AA63), ROUND(X63/SUM($V63:$AA63), 2),0)</f>
        <v/>
      </c>
      <c r="F63" s="54">
        <f>IF(SUM($V63:$AA63), ROUND(Y63/SUM($V63:$AA63), 2),0)</f>
        <v/>
      </c>
      <c r="G63" s="54">
        <f>IF(SUM($V63:$AA63), ROUND(Z63/SUM($V63:$AA63), 2),0)</f>
        <v/>
      </c>
      <c r="H63" s="54">
        <f>IF(SUM($V63:$AA63), ROUND(AA63/SUM($V63:$AA63), 2),0)</f>
        <v/>
      </c>
      <c r="I63" s="24">
        <f>SUM(C63:H63)</f>
        <v/>
      </c>
      <c r="J63" s="24">
        <f>IF(I63&gt;0,0,B63)</f>
        <v/>
      </c>
      <c r="K63" s="24">
        <f>IF(I63&gt;0,B63,0)</f>
        <v/>
      </c>
      <c r="L63" s="25">
        <f>IF(B63&gt;0,(ABS(B63-$J$115)),0)</f>
        <v/>
      </c>
      <c r="M63" s="25">
        <f>IF(I63&gt;0,0,L63)</f>
        <v/>
      </c>
      <c r="O63" s="25">
        <f>C63*$L63</f>
        <v/>
      </c>
      <c r="P63" s="25">
        <f>D63*$L63</f>
        <v/>
      </c>
      <c r="Q63" s="25">
        <f>E63*$L63</f>
        <v/>
      </c>
      <c r="R63" s="25">
        <f>F63*$L63</f>
        <v/>
      </c>
      <c r="S63" s="25">
        <f>G63*$L63</f>
        <v/>
      </c>
      <c r="T63" s="25">
        <f>H63*$L63</f>
        <v/>
      </c>
      <c r="V63" s="25" t="n"/>
      <c r="W63" s="25" t="n"/>
      <c r="X63" s="25" t="n"/>
      <c r="Y63" s="25" t="n"/>
      <c r="Z63" s="25" t="n"/>
      <c r="AA63" s="25" t="n"/>
    </row>
    <row r="64" ht="33" customHeight="1">
      <c r="A64" s="22" t="n">
        <v>52</v>
      </c>
      <c r="B64" s="26" t="n">
        <v>17</v>
      </c>
      <c r="C64" s="54">
        <f>IF(SUM($V64:$AA64), ROUND(V64/SUM($V64:$AA64), 2),0)</f>
        <v/>
      </c>
      <c r="D64" s="54">
        <f>IF(SUM($V64:$AA64), ROUND(W64/SUM($V64:$AA64), 2),0)</f>
        <v/>
      </c>
      <c r="E64" s="54">
        <f>IF(SUM($V64:$AA64), ROUND(X64/SUM($V64:$AA64), 2),0)</f>
        <v/>
      </c>
      <c r="F64" s="54">
        <f>IF(SUM($V64:$AA64), ROUND(Y64/SUM($V64:$AA64), 2),0)</f>
        <v/>
      </c>
      <c r="G64" s="54">
        <f>IF(SUM($V64:$AA64), ROUND(Z64/SUM($V64:$AA64), 2),0)</f>
        <v/>
      </c>
      <c r="H64" s="54">
        <f>IF(SUM($V64:$AA64), ROUND(AA64/SUM($V64:$AA64), 2),0)</f>
        <v/>
      </c>
      <c r="I64" s="24">
        <f>SUM(C64:H64)</f>
        <v/>
      </c>
      <c r="J64" s="24">
        <f>IF(I64&gt;0,0,B64)</f>
        <v/>
      </c>
      <c r="K64" s="24">
        <f>IF(I64&gt;0,B64,0)</f>
        <v/>
      </c>
      <c r="L64" s="25">
        <f>IF(B64&gt;0,(ABS(B64-$J$115)),0)</f>
        <v/>
      </c>
      <c r="M64" s="25">
        <f>IF(I64&gt;0,0,L64)</f>
        <v/>
      </c>
      <c r="O64" s="25">
        <f>C64*$L64</f>
        <v/>
      </c>
      <c r="P64" s="25">
        <f>D64*$L64</f>
        <v/>
      </c>
      <c r="Q64" s="25">
        <f>E64*$L64</f>
        <v/>
      </c>
      <c r="R64" s="25">
        <f>F64*$L64</f>
        <v/>
      </c>
      <c r="S64" s="25">
        <f>G64*$L64</f>
        <v/>
      </c>
      <c r="T64" s="25">
        <f>H64*$L64</f>
        <v/>
      </c>
      <c r="V64" s="25" t="n"/>
      <c r="W64" s="25" t="n"/>
      <c r="X64" s="25" t="n"/>
      <c r="Y64" s="25" t="n"/>
      <c r="Z64" s="25" t="n"/>
      <c r="AA64" s="25" t="n"/>
    </row>
    <row r="65" ht="33" customHeight="1">
      <c r="A65" s="22" t="n">
        <v>53</v>
      </c>
      <c r="B65" s="26" t="n">
        <v>18</v>
      </c>
      <c r="C65" s="54">
        <f>IF(SUM($V65:$AA65), ROUND(V65/SUM($V65:$AA65), 2),0)</f>
        <v/>
      </c>
      <c r="D65" s="54">
        <f>IF(SUM($V65:$AA65), ROUND(W65/SUM($V65:$AA65), 2),0)</f>
        <v/>
      </c>
      <c r="E65" s="54">
        <f>IF(SUM($V65:$AA65), ROUND(X65/SUM($V65:$AA65), 2),0)</f>
        <v/>
      </c>
      <c r="F65" s="54">
        <f>IF(SUM($V65:$AA65), ROUND(Y65/SUM($V65:$AA65), 2),0)</f>
        <v/>
      </c>
      <c r="G65" s="54">
        <f>IF(SUM($V65:$AA65), ROUND(Z65/SUM($V65:$AA65), 2),0)</f>
        <v/>
      </c>
      <c r="H65" s="54">
        <f>IF(SUM($V65:$AA65), ROUND(AA65/SUM($V65:$AA65), 2),0)</f>
        <v/>
      </c>
      <c r="I65" s="24">
        <f>SUM(C65:H65)</f>
        <v/>
      </c>
      <c r="J65" s="24">
        <f>IF(I65&gt;0,0,B65)</f>
        <v/>
      </c>
      <c r="K65" s="24">
        <f>IF(I65&gt;0,B65,0)</f>
        <v/>
      </c>
      <c r="L65" s="25">
        <f>IF(B65&gt;0,(ABS(B65-$J$115)),0)</f>
        <v/>
      </c>
      <c r="M65" s="25">
        <f>IF(I65&gt;0,0,L65)</f>
        <v/>
      </c>
      <c r="O65" s="25">
        <f>C65*$L65</f>
        <v/>
      </c>
      <c r="P65" s="25">
        <f>D65*$L65</f>
        <v/>
      </c>
      <c r="Q65" s="25">
        <f>E65*$L65</f>
        <v/>
      </c>
      <c r="R65" s="25">
        <f>F65*$L65</f>
        <v/>
      </c>
      <c r="S65" s="25">
        <f>G65*$L65</f>
        <v/>
      </c>
      <c r="T65" s="25">
        <f>H65*$L65</f>
        <v/>
      </c>
      <c r="V65" s="25" t="n"/>
      <c r="W65" s="25" t="n"/>
      <c r="X65" s="25" t="n"/>
      <c r="Y65" s="25" t="n"/>
      <c r="Z65" s="25" t="n"/>
      <c r="AA65" s="25" t="n"/>
    </row>
    <row r="66" ht="33" customHeight="1">
      <c r="A66" s="22" t="n">
        <v>54</v>
      </c>
      <c r="B66" s="26" t="n">
        <v>24</v>
      </c>
      <c r="C66" s="54">
        <f>IF(SUM($V66:$AA66), ROUND(V66/SUM($V66:$AA66), 2),0)</f>
        <v/>
      </c>
      <c r="D66" s="54">
        <f>IF(SUM($V66:$AA66), ROUND(W66/SUM($V66:$AA66), 2),0)</f>
        <v/>
      </c>
      <c r="E66" s="54">
        <f>IF(SUM($V66:$AA66), ROUND(X66/SUM($V66:$AA66), 2),0)</f>
        <v/>
      </c>
      <c r="F66" s="54">
        <f>IF(SUM($V66:$AA66), ROUND(Y66/SUM($V66:$AA66), 2),0)</f>
        <v/>
      </c>
      <c r="G66" s="54">
        <f>IF(SUM($V66:$AA66), ROUND(Z66/SUM($V66:$AA66), 2),0)</f>
        <v/>
      </c>
      <c r="H66" s="54">
        <f>IF(SUM($V66:$AA66), ROUND(AA66/SUM($V66:$AA66), 2),0)</f>
        <v/>
      </c>
      <c r="I66" s="24">
        <f>SUM(C66:H66)</f>
        <v/>
      </c>
      <c r="J66" s="24">
        <f>IF(I66&gt;0,0,B66)</f>
        <v/>
      </c>
      <c r="K66" s="24">
        <f>IF(I66&gt;0,B66,0)</f>
        <v/>
      </c>
      <c r="L66" s="25">
        <f>IF(B66&gt;0,(ABS(B66-$J$115)),0)</f>
        <v/>
      </c>
      <c r="M66" s="25">
        <f>IF(I66&gt;0,0,L66)</f>
        <v/>
      </c>
      <c r="O66" s="25">
        <f>C66*$L66</f>
        <v/>
      </c>
      <c r="P66" s="25">
        <f>D66*$L66</f>
        <v/>
      </c>
      <c r="Q66" s="25">
        <f>E66*$L66</f>
        <v/>
      </c>
      <c r="R66" s="25">
        <f>F66*$L66</f>
        <v/>
      </c>
      <c r="S66" s="25">
        <f>G66*$L66</f>
        <v/>
      </c>
      <c r="T66" s="25">
        <f>H66*$L66</f>
        <v/>
      </c>
      <c r="V66" s="25" t="n"/>
      <c r="W66" s="25" t="n"/>
      <c r="X66" s="25" t="n"/>
      <c r="Y66" s="25" t="n"/>
      <c r="Z66" s="25" t="n"/>
      <c r="AA66" s="25" t="n"/>
    </row>
    <row r="67" ht="33" customHeight="1">
      <c r="A67" s="22" t="n">
        <v>55</v>
      </c>
      <c r="B67" s="26" t="n">
        <v>26</v>
      </c>
      <c r="C67" s="54">
        <f>IF(SUM($V67:$AA67), ROUND(V67/SUM($V67:$AA67), 2),0)</f>
        <v/>
      </c>
      <c r="D67" s="54">
        <f>IF(SUM($V67:$AA67), ROUND(W67/SUM($V67:$AA67), 2),0)</f>
        <v/>
      </c>
      <c r="E67" s="54">
        <f>IF(SUM($V67:$AA67), ROUND(X67/SUM($V67:$AA67), 2),0)</f>
        <v/>
      </c>
      <c r="F67" s="54">
        <f>IF(SUM($V67:$AA67), ROUND(Y67/SUM($V67:$AA67), 2),0)</f>
        <v/>
      </c>
      <c r="G67" s="54">
        <f>IF(SUM($V67:$AA67), ROUND(Z67/SUM($V67:$AA67), 2),0)</f>
        <v/>
      </c>
      <c r="H67" s="54">
        <f>IF(SUM($V67:$AA67), ROUND(AA67/SUM($V67:$AA67), 2),0)</f>
        <v/>
      </c>
      <c r="I67" s="24">
        <f>SUM(C67:H67)</f>
        <v/>
      </c>
      <c r="J67" s="24">
        <f>IF(I67&gt;0,0,B67)</f>
        <v/>
      </c>
      <c r="K67" s="24">
        <f>IF(I67&gt;0,B67,0)</f>
        <v/>
      </c>
      <c r="L67" s="25">
        <f>IF(B67&gt;0,(ABS(B67-$J$115)),0)</f>
        <v/>
      </c>
      <c r="M67" s="25">
        <f>IF(I67&gt;0,0,L67)</f>
        <v/>
      </c>
      <c r="O67" s="25">
        <f>C67*$L67</f>
        <v/>
      </c>
      <c r="P67" s="25">
        <f>D67*$L67</f>
        <v/>
      </c>
      <c r="Q67" s="25">
        <f>E67*$L67</f>
        <v/>
      </c>
      <c r="R67" s="25">
        <f>F67*$L67</f>
        <v/>
      </c>
      <c r="S67" s="25">
        <f>G67*$L67</f>
        <v/>
      </c>
      <c r="T67" s="25">
        <f>H67*$L67</f>
        <v/>
      </c>
      <c r="V67" s="25" t="n"/>
      <c r="W67" s="25" t="n"/>
      <c r="X67" s="25" t="n"/>
      <c r="Y67" s="25" t="n"/>
      <c r="Z67" s="25" t="n"/>
      <c r="AA67" s="25" t="n"/>
    </row>
    <row r="68" ht="33" customHeight="1">
      <c r="A68" s="22" t="n">
        <v>56</v>
      </c>
      <c r="B68" s="26" t="n">
        <v>84</v>
      </c>
      <c r="C68" s="54">
        <f>IF(SUM($V68:$AA68), ROUND(V68/SUM($V68:$AA68), 2),0)</f>
        <v/>
      </c>
      <c r="D68" s="54">
        <f>IF(SUM($V68:$AA68), ROUND(W68/SUM($V68:$AA68), 2),0)</f>
        <v/>
      </c>
      <c r="E68" s="54">
        <f>IF(SUM($V68:$AA68), ROUND(X68/SUM($V68:$AA68), 2),0)</f>
        <v/>
      </c>
      <c r="F68" s="54">
        <f>IF(SUM($V68:$AA68), ROUND(Y68/SUM($V68:$AA68), 2),0)</f>
        <v/>
      </c>
      <c r="G68" s="54">
        <f>IF(SUM($V68:$AA68), ROUND(Z68/SUM($V68:$AA68), 2),0)</f>
        <v/>
      </c>
      <c r="H68" s="54">
        <f>IF(SUM($V68:$AA68), ROUND(AA68/SUM($V68:$AA68), 2),0)</f>
        <v/>
      </c>
      <c r="I68" s="24">
        <f>SUM(C68:H68)</f>
        <v/>
      </c>
      <c r="J68" s="24">
        <f>IF(I68&gt;0,0,B68)</f>
        <v/>
      </c>
      <c r="K68" s="24">
        <f>IF(I68&gt;0,B68,0)</f>
        <v/>
      </c>
      <c r="L68" s="25">
        <f>IF(B68&gt;0,(ABS(B68-$J$115)),0)</f>
        <v/>
      </c>
      <c r="M68" s="25">
        <f>IF(I68&gt;0,0,L68)</f>
        <v/>
      </c>
      <c r="O68" s="25">
        <f>C68*$L68</f>
        <v/>
      </c>
      <c r="P68" s="25">
        <f>D68*$L68</f>
        <v/>
      </c>
      <c r="Q68" s="25">
        <f>E68*$L68</f>
        <v/>
      </c>
      <c r="R68" s="25">
        <f>F68*$L68</f>
        <v/>
      </c>
      <c r="S68" s="25">
        <f>G68*$L68</f>
        <v/>
      </c>
      <c r="T68" s="25">
        <f>H68*$L68</f>
        <v/>
      </c>
      <c r="V68" s="25" t="n"/>
      <c r="W68" s="25" t="n"/>
      <c r="X68" s="25" t="n"/>
      <c r="Y68" s="25" t="n">
        <v>63</v>
      </c>
      <c r="Z68" s="25" t="n"/>
      <c r="AA68" s="25" t="n"/>
    </row>
    <row r="69" ht="33" customHeight="1">
      <c r="A69" s="22" t="n">
        <v>57</v>
      </c>
      <c r="B69" s="26" t="n">
        <v>17</v>
      </c>
      <c r="C69" s="54">
        <f>IF(SUM($V69:$AA69), ROUND(V69/SUM($V69:$AA69), 2),0)</f>
        <v/>
      </c>
      <c r="D69" s="54">
        <f>IF(SUM($V69:$AA69), ROUND(W69/SUM($V69:$AA69), 2),0)</f>
        <v/>
      </c>
      <c r="E69" s="54">
        <f>IF(SUM($V69:$AA69), ROUND(X69/SUM($V69:$AA69), 2),0)</f>
        <v/>
      </c>
      <c r="F69" s="54">
        <f>IF(SUM($V69:$AA69), ROUND(Y69/SUM($V69:$AA69), 2),0)</f>
        <v/>
      </c>
      <c r="G69" s="54">
        <f>IF(SUM($V69:$AA69), ROUND(Z69/SUM($V69:$AA69), 2),0)</f>
        <v/>
      </c>
      <c r="H69" s="54">
        <f>IF(SUM($V69:$AA69), ROUND(AA69/SUM($V69:$AA69), 2),0)</f>
        <v/>
      </c>
      <c r="I69" s="24">
        <f>SUM(C69:H69)</f>
        <v/>
      </c>
      <c r="J69" s="24">
        <f>IF(I69&gt;0,0,B69)</f>
        <v/>
      </c>
      <c r="K69" s="24">
        <f>IF(I69&gt;0,B69,0)</f>
        <v/>
      </c>
      <c r="L69" s="25">
        <f>IF(B69&gt;0,(ABS(B69-$J$115)),0)</f>
        <v/>
      </c>
      <c r="M69" s="25">
        <f>IF(I69&gt;0,0,L69)</f>
        <v/>
      </c>
      <c r="O69" s="25">
        <f>C69*$L69</f>
        <v/>
      </c>
      <c r="P69" s="25">
        <f>D69*$L69</f>
        <v/>
      </c>
      <c r="Q69" s="25">
        <f>E69*$L69</f>
        <v/>
      </c>
      <c r="R69" s="25">
        <f>F69*$L69</f>
        <v/>
      </c>
      <c r="S69" s="25">
        <f>G69*$L69</f>
        <v/>
      </c>
      <c r="T69" s="25">
        <f>H69*$L69</f>
        <v/>
      </c>
      <c r="V69" s="25" t="n"/>
      <c r="W69" s="25" t="n"/>
      <c r="X69" s="25" t="n"/>
      <c r="Y69" s="25" t="n"/>
      <c r="Z69" s="25" t="n"/>
      <c r="AA69" s="25" t="n"/>
    </row>
    <row r="70" ht="33" customHeight="1">
      <c r="A70" s="22" t="n">
        <v>58</v>
      </c>
      <c r="B70" s="26" t="n">
        <v>19</v>
      </c>
      <c r="C70" s="54">
        <f>IF(SUM($V70:$AA70), ROUND(V70/SUM($V70:$AA70), 2),0)</f>
        <v/>
      </c>
      <c r="D70" s="54">
        <f>IF(SUM($V70:$AA70), ROUND(W70/SUM($V70:$AA70), 2),0)</f>
        <v/>
      </c>
      <c r="E70" s="54">
        <f>IF(SUM($V70:$AA70), ROUND(X70/SUM($V70:$AA70), 2),0)</f>
        <v/>
      </c>
      <c r="F70" s="54">
        <f>IF(SUM($V70:$AA70), ROUND(Y70/SUM($V70:$AA70), 2),0)</f>
        <v/>
      </c>
      <c r="G70" s="54">
        <f>IF(SUM($V70:$AA70), ROUND(Z70/SUM($V70:$AA70), 2),0)</f>
        <v/>
      </c>
      <c r="H70" s="54">
        <f>IF(SUM($V70:$AA70), ROUND(AA70/SUM($V70:$AA70), 2),0)</f>
        <v/>
      </c>
      <c r="I70" s="24">
        <f>SUM(C70:H70)</f>
        <v/>
      </c>
      <c r="J70" s="24">
        <f>IF(I70&gt;0,0,B70)</f>
        <v/>
      </c>
      <c r="K70" s="24">
        <f>IF(I70&gt;0,B70,0)</f>
        <v/>
      </c>
      <c r="L70" s="25">
        <f>IF(B70&gt;0,(ABS(B70-$J$115)),0)</f>
        <v/>
      </c>
      <c r="M70" s="25">
        <f>IF(I70&gt;0,0,L70)</f>
        <v/>
      </c>
      <c r="O70" s="25">
        <f>C70*$L70</f>
        <v/>
      </c>
      <c r="P70" s="25">
        <f>D70*$L70</f>
        <v/>
      </c>
      <c r="Q70" s="25">
        <f>E70*$L70</f>
        <v/>
      </c>
      <c r="R70" s="25">
        <f>F70*$L70</f>
        <v/>
      </c>
      <c r="S70" s="25">
        <f>G70*$L70</f>
        <v/>
      </c>
      <c r="T70" s="25">
        <f>H70*$L70</f>
        <v/>
      </c>
      <c r="V70" s="25" t="n"/>
      <c r="W70" s="25" t="n"/>
      <c r="X70" s="25" t="n"/>
      <c r="Y70" s="25" t="n"/>
      <c r="Z70" s="25" t="n"/>
      <c r="AA70" s="25" t="n"/>
    </row>
    <row r="71" ht="33" customHeight="1">
      <c r="A71" s="22" t="n">
        <v>59</v>
      </c>
      <c r="B71" s="26" t="n">
        <v>19</v>
      </c>
      <c r="C71" s="54">
        <f>IF(SUM($V71:$AA71), ROUND(V71/SUM($V71:$AA71), 2),0)</f>
        <v/>
      </c>
      <c r="D71" s="54">
        <f>IF(SUM($V71:$AA71), ROUND(W71/SUM($V71:$AA71), 2),0)</f>
        <v/>
      </c>
      <c r="E71" s="54">
        <f>IF(SUM($V71:$AA71), ROUND(X71/SUM($V71:$AA71), 2),0)</f>
        <v/>
      </c>
      <c r="F71" s="54">
        <f>IF(SUM($V71:$AA71), ROUND(Y71/SUM($V71:$AA71), 2),0)</f>
        <v/>
      </c>
      <c r="G71" s="54">
        <f>IF(SUM($V71:$AA71), ROUND(Z71/SUM($V71:$AA71), 2),0)</f>
        <v/>
      </c>
      <c r="H71" s="54">
        <f>IF(SUM($V71:$AA71), ROUND(AA71/SUM($V71:$AA71), 2),0)</f>
        <v/>
      </c>
      <c r="I71" s="24">
        <f>SUM(C71:H71)</f>
        <v/>
      </c>
      <c r="J71" s="24">
        <f>IF(I71&gt;0,0,B71)</f>
        <v/>
      </c>
      <c r="K71" s="24">
        <f>IF(I71&gt;0,B71,0)</f>
        <v/>
      </c>
      <c r="L71" s="25">
        <f>IF(B71&gt;0,(ABS(B71-$J$115)),0)</f>
        <v/>
      </c>
      <c r="M71" s="25">
        <f>IF(I71&gt;0,0,L71)</f>
        <v/>
      </c>
      <c r="O71" s="25">
        <f>C71*$L71</f>
        <v/>
      </c>
      <c r="P71" s="25">
        <f>D71*$L71</f>
        <v/>
      </c>
      <c r="Q71" s="25">
        <f>E71*$L71</f>
        <v/>
      </c>
      <c r="R71" s="25">
        <f>F71*$L71</f>
        <v/>
      </c>
      <c r="S71" s="25">
        <f>G71*$L71</f>
        <v/>
      </c>
      <c r="T71" s="25">
        <f>H71*$L71</f>
        <v/>
      </c>
      <c r="V71" s="25" t="n"/>
      <c r="W71" s="25" t="n"/>
      <c r="X71" s="25" t="n"/>
      <c r="Y71" s="25" t="n"/>
      <c r="Z71" s="25" t="n"/>
      <c r="AA71" s="25" t="n"/>
    </row>
    <row r="72" ht="33" customHeight="1">
      <c r="A72" s="22" t="n">
        <v>60</v>
      </c>
      <c r="B72" s="26" t="n">
        <v>21</v>
      </c>
      <c r="C72" s="54">
        <f>IF(SUM($V72:$AA72), ROUND(V72/SUM($V72:$AA72), 2),0)</f>
        <v/>
      </c>
      <c r="D72" s="54">
        <f>IF(SUM($V72:$AA72), ROUND(W72/SUM($V72:$AA72), 2),0)</f>
        <v/>
      </c>
      <c r="E72" s="54">
        <f>IF(SUM($V72:$AA72), ROUND(X72/SUM($V72:$AA72), 2),0)</f>
        <v/>
      </c>
      <c r="F72" s="54">
        <f>IF(SUM($V72:$AA72), ROUND(Y72/SUM($V72:$AA72), 2),0)</f>
        <v/>
      </c>
      <c r="G72" s="54">
        <f>IF(SUM($V72:$AA72), ROUND(Z72/SUM($V72:$AA72), 2),0)</f>
        <v/>
      </c>
      <c r="H72" s="54">
        <f>IF(SUM($V72:$AA72), ROUND(AA72/SUM($V72:$AA72), 2),0)</f>
        <v/>
      </c>
      <c r="I72" s="24">
        <f>SUM(C72:H72)</f>
        <v/>
      </c>
      <c r="J72" s="24">
        <f>IF(I72&gt;0,0,B72)</f>
        <v/>
      </c>
      <c r="K72" s="24">
        <f>IF(I72&gt;0,B72,0)</f>
        <v/>
      </c>
      <c r="L72" s="25">
        <f>IF(B72&gt;0,(ABS(B72-$J$115)),0)</f>
        <v/>
      </c>
      <c r="M72" s="25">
        <f>IF(I72&gt;0,0,L72)</f>
        <v/>
      </c>
      <c r="O72" s="25">
        <f>C72*$L72</f>
        <v/>
      </c>
      <c r="P72" s="25">
        <f>D72*$L72</f>
        <v/>
      </c>
      <c r="Q72" s="25">
        <f>E72*$L72</f>
        <v/>
      </c>
      <c r="R72" s="25">
        <f>F72*$L72</f>
        <v/>
      </c>
      <c r="S72" s="25">
        <f>G72*$L72</f>
        <v/>
      </c>
      <c r="T72" s="25">
        <f>H72*$L72</f>
        <v/>
      </c>
      <c r="V72" s="25" t="n"/>
      <c r="W72" s="25" t="n"/>
      <c r="X72" s="25" t="n"/>
      <c r="Y72" s="25" t="n"/>
      <c r="Z72" s="25" t="n"/>
      <c r="AA72" s="25" t="n"/>
    </row>
    <row r="73" ht="33" customHeight="1">
      <c r="A73" s="22" t="n">
        <v>61</v>
      </c>
      <c r="B73" s="26" t="n">
        <v>17</v>
      </c>
      <c r="C73" s="54">
        <f>IF(SUM($V73:$AA73), ROUND(V73/SUM($V73:$AA73), 2),0)</f>
        <v/>
      </c>
      <c r="D73" s="54">
        <f>IF(SUM($V73:$AA73), ROUND(W73/SUM($V73:$AA73), 2),0)</f>
        <v/>
      </c>
      <c r="E73" s="54">
        <f>IF(SUM($V73:$AA73), ROUND(X73/SUM($V73:$AA73), 2),0)</f>
        <v/>
      </c>
      <c r="F73" s="54">
        <f>IF(SUM($V73:$AA73), ROUND(Y73/SUM($V73:$AA73), 2),0)</f>
        <v/>
      </c>
      <c r="G73" s="54">
        <f>IF(SUM($V73:$AA73), ROUND(Z73/SUM($V73:$AA73), 2),0)</f>
        <v/>
      </c>
      <c r="H73" s="54">
        <f>IF(SUM($V73:$AA73), ROUND(AA73/SUM($V73:$AA73), 2),0)</f>
        <v/>
      </c>
      <c r="I73" s="24">
        <f>SUM(C73:H73)</f>
        <v/>
      </c>
      <c r="J73" s="24">
        <f>IF(I73&gt;0,0,B73)</f>
        <v/>
      </c>
      <c r="K73" s="24">
        <f>IF(I73&gt;0,B73,0)</f>
        <v/>
      </c>
      <c r="L73" s="25">
        <f>IF(B73&gt;0,(ABS(B73-$J$115)),0)</f>
        <v/>
      </c>
      <c r="M73" s="25">
        <f>IF(I73&gt;0,0,L73)</f>
        <v/>
      </c>
      <c r="O73" s="25">
        <f>C73*$L73</f>
        <v/>
      </c>
      <c r="P73" s="25">
        <f>D73*$L73</f>
        <v/>
      </c>
      <c r="Q73" s="25">
        <f>E73*$L73</f>
        <v/>
      </c>
      <c r="R73" s="25">
        <f>F73*$L73</f>
        <v/>
      </c>
      <c r="S73" s="25">
        <f>G73*$L73</f>
        <v/>
      </c>
      <c r="T73" s="25">
        <f>H73*$L73</f>
        <v/>
      </c>
      <c r="V73" s="25" t="n"/>
      <c r="W73" s="25" t="n"/>
      <c r="X73" s="25" t="n"/>
      <c r="Y73" s="25" t="n"/>
      <c r="Z73" s="25" t="n"/>
      <c r="AA73" s="25" t="n"/>
    </row>
    <row r="74" ht="33" customHeight="1">
      <c r="A74" s="22" t="n">
        <v>62</v>
      </c>
      <c r="B74" s="26" t="n">
        <v>21</v>
      </c>
      <c r="C74" s="54">
        <f>IF(SUM($V74:$AA74), ROUND(V74/SUM($V74:$AA74), 2),0)</f>
        <v/>
      </c>
      <c r="D74" s="54">
        <f>IF(SUM($V74:$AA74), ROUND(W74/SUM($V74:$AA74), 2),0)</f>
        <v/>
      </c>
      <c r="E74" s="54">
        <f>IF(SUM($V74:$AA74), ROUND(X74/SUM($V74:$AA74), 2),0)</f>
        <v/>
      </c>
      <c r="F74" s="54">
        <f>IF(SUM($V74:$AA74), ROUND(Y74/SUM($V74:$AA74), 2),0)</f>
        <v/>
      </c>
      <c r="G74" s="54">
        <f>IF(SUM($V74:$AA74), ROUND(Z74/SUM($V74:$AA74), 2),0)</f>
        <v/>
      </c>
      <c r="H74" s="54">
        <f>IF(SUM($V74:$AA74), ROUND(AA74/SUM($V74:$AA74), 2),0)</f>
        <v/>
      </c>
      <c r="I74" s="24">
        <f>SUM(C74:H74)</f>
        <v/>
      </c>
      <c r="J74" s="24">
        <f>IF(I74&gt;0,0,B74)</f>
        <v/>
      </c>
      <c r="K74" s="24">
        <f>IF(I74&gt;0,B74,0)</f>
        <v/>
      </c>
      <c r="L74" s="25">
        <f>IF(B74&gt;0,(ABS(B74-$J$115)),0)</f>
        <v/>
      </c>
      <c r="M74" s="25">
        <f>IF(I74&gt;0,0,L74)</f>
        <v/>
      </c>
      <c r="O74" s="25">
        <f>C74*$L74</f>
        <v/>
      </c>
      <c r="P74" s="25">
        <f>D74*$L74</f>
        <v/>
      </c>
      <c r="Q74" s="25">
        <f>E74*$L74</f>
        <v/>
      </c>
      <c r="R74" s="25">
        <f>F74*$L74</f>
        <v/>
      </c>
      <c r="S74" s="25">
        <f>G74*$L74</f>
        <v/>
      </c>
      <c r="T74" s="25">
        <f>H74*$L74</f>
        <v/>
      </c>
      <c r="V74" s="25" t="n"/>
      <c r="W74" s="25" t="n"/>
      <c r="X74" s="25" t="n"/>
      <c r="Y74" s="25" t="n"/>
      <c r="Z74" s="25" t="n"/>
      <c r="AA74" s="25" t="n"/>
    </row>
    <row r="75" ht="33" customHeight="1">
      <c r="A75" s="22" t="n">
        <v>63</v>
      </c>
      <c r="B75" s="26" t="n">
        <v>22</v>
      </c>
      <c r="C75" s="54">
        <f>IF(SUM($V75:$AA75), ROUND(V75/SUM($V75:$AA75), 2),0)</f>
        <v/>
      </c>
      <c r="D75" s="54">
        <f>IF(SUM($V75:$AA75), ROUND(W75/SUM($V75:$AA75), 2),0)</f>
        <v/>
      </c>
      <c r="E75" s="54">
        <f>IF(SUM($V75:$AA75), ROUND(X75/SUM($V75:$AA75), 2),0)</f>
        <v/>
      </c>
      <c r="F75" s="54">
        <f>IF(SUM($V75:$AA75), ROUND(Y75/SUM($V75:$AA75), 2),0)</f>
        <v/>
      </c>
      <c r="G75" s="54">
        <f>IF(SUM($V75:$AA75), ROUND(Z75/SUM($V75:$AA75), 2),0)</f>
        <v/>
      </c>
      <c r="H75" s="54">
        <f>IF(SUM($V75:$AA75), ROUND(AA75/SUM($V75:$AA75), 2),0)</f>
        <v/>
      </c>
      <c r="I75" s="24">
        <f>SUM(C75:H75)</f>
        <v/>
      </c>
      <c r="J75" s="24">
        <f>IF(I75&gt;0,0,B75)</f>
        <v/>
      </c>
      <c r="K75" s="24">
        <f>IF(I75&gt;0,B75,0)</f>
        <v/>
      </c>
      <c r="L75" s="25">
        <f>IF(B75&gt;0,(ABS(B75-$J$115)),0)</f>
        <v/>
      </c>
      <c r="M75" s="25">
        <f>IF(I75&gt;0,0,L75)</f>
        <v/>
      </c>
      <c r="O75" s="25">
        <f>C75*$L75</f>
        <v/>
      </c>
      <c r="P75" s="25">
        <f>D75*$L75</f>
        <v/>
      </c>
      <c r="Q75" s="25">
        <f>E75*$L75</f>
        <v/>
      </c>
      <c r="R75" s="25">
        <f>F75*$L75</f>
        <v/>
      </c>
      <c r="S75" s="25">
        <f>G75*$L75</f>
        <v/>
      </c>
      <c r="T75" s="25">
        <f>H75*$L75</f>
        <v/>
      </c>
      <c r="V75" s="25" t="n"/>
      <c r="W75" s="25" t="n"/>
      <c r="X75" s="25" t="n"/>
      <c r="Y75" s="25" t="n"/>
      <c r="Z75" s="25" t="n"/>
      <c r="AA75" s="25" t="n"/>
    </row>
    <row r="76" ht="33" customHeight="1">
      <c r="A76" s="22" t="n">
        <v>64</v>
      </c>
      <c r="B76" s="26" t="n">
        <v>22</v>
      </c>
      <c r="C76" s="54">
        <f>IF(SUM($V76:$AA76), ROUND(V76/SUM($V76:$AA76), 2),0)</f>
        <v/>
      </c>
      <c r="D76" s="54">
        <f>IF(SUM($V76:$AA76), ROUND(W76/SUM($V76:$AA76), 2),0)</f>
        <v/>
      </c>
      <c r="E76" s="54">
        <f>IF(SUM($V76:$AA76), ROUND(X76/SUM($V76:$AA76), 2),0)</f>
        <v/>
      </c>
      <c r="F76" s="54">
        <f>IF(SUM($V76:$AA76), ROUND(Y76/SUM($V76:$AA76), 2),0)</f>
        <v/>
      </c>
      <c r="G76" s="54">
        <f>IF(SUM($V76:$AA76), ROUND(Z76/SUM($V76:$AA76), 2),0)</f>
        <v/>
      </c>
      <c r="H76" s="54">
        <f>IF(SUM($V76:$AA76), ROUND(AA76/SUM($V76:$AA76), 2),0)</f>
        <v/>
      </c>
      <c r="I76" s="24">
        <f>SUM(C76:H76)</f>
        <v/>
      </c>
      <c r="J76" s="24">
        <f>IF(I76&gt;0,0,B76)</f>
        <v/>
      </c>
      <c r="K76" s="24">
        <f>IF(I76&gt;0,B76,0)</f>
        <v/>
      </c>
      <c r="L76" s="25">
        <f>IF(B76&gt;0,(ABS(B76-$J$115)),0)</f>
        <v/>
      </c>
      <c r="M76" s="25">
        <f>IF(I76&gt;0,0,L76)</f>
        <v/>
      </c>
      <c r="O76" s="25">
        <f>C76*$L76</f>
        <v/>
      </c>
      <c r="P76" s="25">
        <f>D76*$L76</f>
        <v/>
      </c>
      <c r="Q76" s="25">
        <f>E76*$L76</f>
        <v/>
      </c>
      <c r="R76" s="25">
        <f>F76*$L76</f>
        <v/>
      </c>
      <c r="S76" s="25">
        <f>G76*$L76</f>
        <v/>
      </c>
      <c r="T76" s="25">
        <f>H76*$L76</f>
        <v/>
      </c>
      <c r="V76" s="25" t="n"/>
      <c r="W76" s="25" t="n"/>
      <c r="X76" s="25" t="n"/>
      <c r="Y76" s="25" t="n"/>
      <c r="Z76" s="25" t="n"/>
      <c r="AA76" s="25" t="n"/>
    </row>
    <row r="77" ht="33" customHeight="1">
      <c r="A77" s="22" t="n">
        <v>65</v>
      </c>
      <c r="B77" s="26" t="n">
        <v>99</v>
      </c>
      <c r="C77" s="54">
        <f>IF(SUM($V77:$AA77), ROUND(V77/SUM($V77:$AA77), 2),0)</f>
        <v/>
      </c>
      <c r="D77" s="54">
        <f>IF(SUM($V77:$AA77), ROUND(W77/SUM($V77:$AA77), 2),0)</f>
        <v/>
      </c>
      <c r="E77" s="54">
        <f>IF(SUM($V77:$AA77), ROUND(X77/SUM($V77:$AA77), 2),0)</f>
        <v/>
      </c>
      <c r="F77" s="54">
        <f>IF(SUM($V77:$AA77), ROUND(Y77/SUM($V77:$AA77), 2),0)</f>
        <v/>
      </c>
      <c r="G77" s="54">
        <f>IF(SUM($V77:$AA77), ROUND(Z77/SUM($V77:$AA77), 2),0)</f>
        <v/>
      </c>
      <c r="H77" s="54">
        <f>IF(SUM($V77:$AA77), ROUND(AA77/SUM($V77:$AA77), 2),0)</f>
        <v/>
      </c>
      <c r="I77" s="24">
        <f>SUM(C77:H77)</f>
        <v/>
      </c>
      <c r="J77" s="24">
        <f>IF(I77&gt;0,0,B77)</f>
        <v/>
      </c>
      <c r="K77" s="24">
        <f>IF(I77&gt;0,B77,0)</f>
        <v/>
      </c>
      <c r="L77" s="25">
        <f>IF(B77&gt;0,(ABS(B77-$J$115)),0)</f>
        <v/>
      </c>
      <c r="M77" s="25">
        <f>IF(I77&gt;0,0,L77)</f>
        <v/>
      </c>
      <c r="O77" s="25">
        <f>C77*$L77</f>
        <v/>
      </c>
      <c r="P77" s="25">
        <f>D77*$L77</f>
        <v/>
      </c>
      <c r="Q77" s="25">
        <f>E77*$L77</f>
        <v/>
      </c>
      <c r="R77" s="25">
        <f>F77*$L77</f>
        <v/>
      </c>
      <c r="S77" s="25">
        <f>G77*$L77</f>
        <v/>
      </c>
      <c r="T77" s="25">
        <f>H77*$L77</f>
        <v/>
      </c>
      <c r="V77" s="25" t="n"/>
      <c r="W77" s="25" t="n"/>
      <c r="X77" s="25" t="n"/>
      <c r="Y77" s="25" t="n">
        <v>76</v>
      </c>
      <c r="Z77" s="25" t="n"/>
      <c r="AA77" s="25" t="n"/>
    </row>
    <row r="78" ht="33" customHeight="1">
      <c r="A78" s="22" t="n">
        <v>66</v>
      </c>
      <c r="B78" s="26" t="n">
        <v>28</v>
      </c>
      <c r="C78" s="54">
        <f>IF(SUM($V78:$AA78), ROUND(V78/SUM($V78:$AA78), 2),0)</f>
        <v/>
      </c>
      <c r="D78" s="54">
        <f>IF(SUM($V78:$AA78), ROUND(W78/SUM($V78:$AA78), 2),0)</f>
        <v/>
      </c>
      <c r="E78" s="54">
        <f>IF(SUM($V78:$AA78), ROUND(X78/SUM($V78:$AA78), 2),0)</f>
        <v/>
      </c>
      <c r="F78" s="54">
        <f>IF(SUM($V78:$AA78), ROUND(Y78/SUM($V78:$AA78), 2),0)</f>
        <v/>
      </c>
      <c r="G78" s="54">
        <f>IF(SUM($V78:$AA78), ROUND(Z78/SUM($V78:$AA78), 2),0)</f>
        <v/>
      </c>
      <c r="H78" s="54">
        <f>IF(SUM($V78:$AA78), ROUND(AA78/SUM($V78:$AA78), 2),0)</f>
        <v/>
      </c>
      <c r="I78" s="24">
        <f>SUM(C78:H78)</f>
        <v/>
      </c>
      <c r="J78" s="24">
        <f>IF(I78&gt;0,0,B78)</f>
        <v/>
      </c>
      <c r="K78" s="24">
        <f>IF(I78&gt;0,B78,0)</f>
        <v/>
      </c>
      <c r="L78" s="25">
        <f>IF(B78&gt;0,(ABS(B78-$J$115)),0)</f>
        <v/>
      </c>
      <c r="M78" s="25">
        <f>IF(I78&gt;0,0,L78)</f>
        <v/>
      </c>
      <c r="O78" s="25">
        <f>C78*$L78</f>
        <v/>
      </c>
      <c r="P78" s="25">
        <f>D78*$L78</f>
        <v/>
      </c>
      <c r="Q78" s="25">
        <f>E78*$L78</f>
        <v/>
      </c>
      <c r="R78" s="25">
        <f>F78*$L78</f>
        <v/>
      </c>
      <c r="S78" s="25">
        <f>G78*$L78</f>
        <v/>
      </c>
      <c r="T78" s="25">
        <f>H78*$L78</f>
        <v/>
      </c>
      <c r="V78" s="25" t="n"/>
      <c r="W78" s="25" t="n"/>
      <c r="X78" s="25" t="n"/>
      <c r="Y78" s="25" t="n"/>
      <c r="Z78" s="25" t="n"/>
      <c r="AA78" s="25" t="n"/>
    </row>
    <row r="79" ht="33" customHeight="1">
      <c r="A79" s="22" t="n">
        <v>67</v>
      </c>
      <c r="B79" s="26" t="n">
        <v>30</v>
      </c>
      <c r="C79" s="54">
        <f>IF(SUM($V79:$AA79), ROUND(V79/SUM($V79:$AA79), 2),0)</f>
        <v/>
      </c>
      <c r="D79" s="54">
        <f>IF(SUM($V79:$AA79), ROUND(W79/SUM($V79:$AA79), 2),0)</f>
        <v/>
      </c>
      <c r="E79" s="54">
        <f>IF(SUM($V79:$AA79), ROUND(X79/SUM($V79:$AA79), 2),0)</f>
        <v/>
      </c>
      <c r="F79" s="54">
        <f>IF(SUM($V79:$AA79), ROUND(Y79/SUM($V79:$AA79), 2),0)</f>
        <v/>
      </c>
      <c r="G79" s="54">
        <f>IF(SUM($V79:$AA79), ROUND(Z79/SUM($V79:$AA79), 2),0)</f>
        <v/>
      </c>
      <c r="H79" s="54">
        <f>IF(SUM($V79:$AA79), ROUND(AA79/SUM($V79:$AA79), 2),0)</f>
        <v/>
      </c>
      <c r="I79" s="24">
        <f>SUM(C79:H79)</f>
        <v/>
      </c>
      <c r="J79" s="24">
        <f>IF(I79&gt;0,0,B79)</f>
        <v/>
      </c>
      <c r="K79" s="24">
        <f>IF(I79&gt;0,B79,0)</f>
        <v/>
      </c>
      <c r="L79" s="25">
        <f>IF(B79&gt;0,(ABS(B79-$J$115)),0)</f>
        <v/>
      </c>
      <c r="M79" s="25">
        <f>IF(I79&gt;0,0,L79)</f>
        <v/>
      </c>
      <c r="O79" s="25">
        <f>C79*$L79</f>
        <v/>
      </c>
      <c r="P79" s="25">
        <f>D79*$L79</f>
        <v/>
      </c>
      <c r="Q79" s="25">
        <f>E79*$L79</f>
        <v/>
      </c>
      <c r="R79" s="25">
        <f>F79*$L79</f>
        <v/>
      </c>
      <c r="S79" s="25">
        <f>G79*$L79</f>
        <v/>
      </c>
      <c r="T79" s="25">
        <f>H79*$L79</f>
        <v/>
      </c>
      <c r="V79" s="25" t="n"/>
      <c r="W79" s="25" t="n"/>
      <c r="X79" s="25" t="n"/>
      <c r="Y79" s="25" t="n"/>
      <c r="Z79" s="25" t="n"/>
      <c r="AA79" s="25" t="n"/>
    </row>
    <row r="80" ht="33" customHeight="1">
      <c r="A80" s="22" t="n">
        <v>68</v>
      </c>
      <c r="B80" s="26" t="n">
        <v>23</v>
      </c>
      <c r="C80" s="54">
        <f>IF(SUM($V80:$AA80), ROUND(V80/SUM($V80:$AA80), 2),0)</f>
        <v/>
      </c>
      <c r="D80" s="54">
        <f>IF(SUM($V80:$AA80), ROUND(W80/SUM($V80:$AA80), 2),0)</f>
        <v/>
      </c>
      <c r="E80" s="54">
        <f>IF(SUM($V80:$AA80), ROUND(X80/SUM($V80:$AA80), 2),0)</f>
        <v/>
      </c>
      <c r="F80" s="54">
        <f>IF(SUM($V80:$AA80), ROUND(Y80/SUM($V80:$AA80), 2),0)</f>
        <v/>
      </c>
      <c r="G80" s="54">
        <f>IF(SUM($V80:$AA80), ROUND(Z80/SUM($V80:$AA80), 2),0)</f>
        <v/>
      </c>
      <c r="H80" s="54">
        <f>IF(SUM($V80:$AA80), ROUND(AA80/SUM($V80:$AA80), 2),0)</f>
        <v/>
      </c>
      <c r="I80" s="24">
        <f>SUM(C80:H80)</f>
        <v/>
      </c>
      <c r="J80" s="24">
        <f>IF(I80&gt;0,0,B80)</f>
        <v/>
      </c>
      <c r="K80" s="24">
        <f>IF(I80&gt;0,B80,0)</f>
        <v/>
      </c>
      <c r="L80" s="25">
        <f>IF(B80&gt;0,(ABS(B80-$J$115)),0)</f>
        <v/>
      </c>
      <c r="M80" s="25">
        <f>IF(I80&gt;0,0,L80)</f>
        <v/>
      </c>
      <c r="O80" s="25">
        <f>C80*$L80</f>
        <v/>
      </c>
      <c r="P80" s="25">
        <f>D80*$L80</f>
        <v/>
      </c>
      <c r="Q80" s="25">
        <f>E80*$L80</f>
        <v/>
      </c>
      <c r="R80" s="25">
        <f>F80*$L80</f>
        <v/>
      </c>
      <c r="S80" s="25">
        <f>G80*$L80</f>
        <v/>
      </c>
      <c r="T80" s="25">
        <f>H80*$L80</f>
        <v/>
      </c>
      <c r="V80" s="25" t="n"/>
      <c r="W80" s="25" t="n"/>
      <c r="X80" s="25" t="n"/>
      <c r="Y80" s="25" t="n"/>
      <c r="Z80" s="25" t="n"/>
      <c r="AA80" s="25" t="n"/>
    </row>
    <row r="81" ht="33" customHeight="1">
      <c r="A81" s="22" t="n">
        <v>69</v>
      </c>
      <c r="B81" s="26" t="n">
        <v>23</v>
      </c>
      <c r="C81" s="54">
        <f>IF(SUM($V81:$AA81), ROUND(V81/SUM($V81:$AA81), 2),0)</f>
        <v/>
      </c>
      <c r="D81" s="54">
        <f>IF(SUM($V81:$AA81), ROUND(W81/SUM($V81:$AA81), 2),0)</f>
        <v/>
      </c>
      <c r="E81" s="54">
        <f>IF(SUM($V81:$AA81), ROUND(X81/SUM($V81:$AA81), 2),0)</f>
        <v/>
      </c>
      <c r="F81" s="54">
        <f>IF(SUM($V81:$AA81), ROUND(Y81/SUM($V81:$AA81), 2),0)</f>
        <v/>
      </c>
      <c r="G81" s="54">
        <f>IF(SUM($V81:$AA81), ROUND(Z81/SUM($V81:$AA81), 2),0)</f>
        <v/>
      </c>
      <c r="H81" s="54">
        <f>IF(SUM($V81:$AA81), ROUND(AA81/SUM($V81:$AA81), 2),0)</f>
        <v/>
      </c>
      <c r="I81" s="24">
        <f>SUM(C81:H81)</f>
        <v/>
      </c>
      <c r="J81" s="24">
        <f>IF(I81&gt;0,0,B81)</f>
        <v/>
      </c>
      <c r="K81" s="24">
        <f>IF(I81&gt;0,B81,0)</f>
        <v/>
      </c>
      <c r="L81" s="25">
        <f>IF(B81&gt;0,(ABS(B81-$J$115)),0)</f>
        <v/>
      </c>
      <c r="M81" s="25">
        <f>IF(I81&gt;0,0,L81)</f>
        <v/>
      </c>
      <c r="O81" s="25">
        <f>C81*$L81</f>
        <v/>
      </c>
      <c r="P81" s="25">
        <f>D81*$L81</f>
        <v/>
      </c>
      <c r="Q81" s="25">
        <f>E81*$L81</f>
        <v/>
      </c>
      <c r="R81" s="25">
        <f>F81*$L81</f>
        <v/>
      </c>
      <c r="S81" s="25">
        <f>G81*$L81</f>
        <v/>
      </c>
      <c r="T81" s="25">
        <f>H81*$L81</f>
        <v/>
      </c>
      <c r="V81" s="25" t="n"/>
      <c r="W81" s="25" t="n"/>
      <c r="X81" s="25" t="n"/>
      <c r="Y81" s="25" t="n"/>
      <c r="Z81" s="25" t="n"/>
      <c r="AA81" s="25" t="n"/>
    </row>
    <row r="82" ht="33" customHeight="1">
      <c r="A82" s="22" t="n">
        <v>70</v>
      </c>
      <c r="B82" s="26" t="n">
        <v>23</v>
      </c>
      <c r="C82" s="54">
        <f>IF(SUM($V82:$AA82), ROUND(V82/SUM($V82:$AA82), 2),0)</f>
        <v/>
      </c>
      <c r="D82" s="54">
        <f>IF(SUM($V82:$AA82), ROUND(W82/SUM($V82:$AA82), 2),0)</f>
        <v/>
      </c>
      <c r="E82" s="54">
        <f>IF(SUM($V82:$AA82), ROUND(X82/SUM($V82:$AA82), 2),0)</f>
        <v/>
      </c>
      <c r="F82" s="54">
        <f>IF(SUM($V82:$AA82), ROUND(Y82/SUM($V82:$AA82), 2),0)</f>
        <v/>
      </c>
      <c r="G82" s="54">
        <f>IF(SUM($V82:$AA82), ROUND(Z82/SUM($V82:$AA82), 2),0)</f>
        <v/>
      </c>
      <c r="H82" s="54">
        <f>IF(SUM($V82:$AA82), ROUND(AA82/SUM($V82:$AA82), 2),0)</f>
        <v/>
      </c>
      <c r="I82" s="24">
        <f>SUM(C82:H82)</f>
        <v/>
      </c>
      <c r="J82" s="24">
        <f>IF(I82&gt;0,0,B82)</f>
        <v/>
      </c>
      <c r="K82" s="24">
        <f>IF(I82&gt;0,B82,0)</f>
        <v/>
      </c>
      <c r="L82" s="25">
        <f>IF(B82&gt;0,(ABS(B82-$J$115)),0)</f>
        <v/>
      </c>
      <c r="M82" s="25">
        <f>IF(I82&gt;0,0,L82)</f>
        <v/>
      </c>
      <c r="O82" s="25">
        <f>C82*$L82</f>
        <v/>
      </c>
      <c r="P82" s="25">
        <f>D82*$L82</f>
        <v/>
      </c>
      <c r="Q82" s="25">
        <f>E82*$L82</f>
        <v/>
      </c>
      <c r="R82" s="25">
        <f>F82*$L82</f>
        <v/>
      </c>
      <c r="S82" s="25">
        <f>G82*$L82</f>
        <v/>
      </c>
      <c r="T82" s="25">
        <f>H82*$L82</f>
        <v/>
      </c>
      <c r="V82" s="25" t="n"/>
      <c r="W82" s="25" t="n"/>
      <c r="X82" s="25" t="n"/>
      <c r="Y82" s="25" t="n"/>
      <c r="Z82" s="25" t="n"/>
      <c r="AA82" s="25" t="n"/>
    </row>
    <row r="83" ht="33" customHeight="1">
      <c r="A83" s="22" t="n">
        <v>71</v>
      </c>
      <c r="B83" s="26" t="n">
        <v>46</v>
      </c>
      <c r="C83" s="54">
        <f>IF(SUM($V83:$AA83), ROUND(V83/SUM($V83:$AA83), 2),0)</f>
        <v/>
      </c>
      <c r="D83" s="54">
        <f>IF(SUM($V83:$AA83), ROUND(W83/SUM($V83:$AA83), 2),0)</f>
        <v/>
      </c>
      <c r="E83" s="54">
        <f>IF(SUM($V83:$AA83), ROUND(X83/SUM($V83:$AA83), 2),0)</f>
        <v/>
      </c>
      <c r="F83" s="54">
        <f>IF(SUM($V83:$AA83), ROUND(Y83/SUM($V83:$AA83), 2),0)</f>
        <v/>
      </c>
      <c r="G83" s="54">
        <f>IF(SUM($V83:$AA83), ROUND(Z83/SUM($V83:$AA83), 2),0)</f>
        <v/>
      </c>
      <c r="H83" s="54">
        <f>IF(SUM($V83:$AA83), ROUND(AA83/SUM($V83:$AA83), 2),0)</f>
        <v/>
      </c>
      <c r="I83" s="24">
        <f>SUM(C83:H83)</f>
        <v/>
      </c>
      <c r="J83" s="24">
        <f>IF(I83&gt;0,0,B83)</f>
        <v/>
      </c>
      <c r="K83" s="24">
        <f>IF(I83&gt;0,B83,0)</f>
        <v/>
      </c>
      <c r="L83" s="25">
        <f>IF(B83&gt;0,(ABS(B83-$J$115)),0)</f>
        <v/>
      </c>
      <c r="M83" s="25">
        <f>IF(I83&gt;0,0,L83)</f>
        <v/>
      </c>
      <c r="O83" s="25">
        <f>C83*$L83</f>
        <v/>
      </c>
      <c r="P83" s="25">
        <f>D83*$L83</f>
        <v/>
      </c>
      <c r="Q83" s="25">
        <f>E83*$L83</f>
        <v/>
      </c>
      <c r="R83" s="25">
        <f>F83*$L83</f>
        <v/>
      </c>
      <c r="S83" s="25">
        <f>G83*$L83</f>
        <v/>
      </c>
      <c r="T83" s="25">
        <f>H83*$L83</f>
        <v/>
      </c>
      <c r="V83" s="25" t="n"/>
      <c r="W83" s="25" t="n"/>
      <c r="X83" s="25" t="n"/>
      <c r="Y83" s="25" t="n"/>
      <c r="Z83" s="25" t="n"/>
      <c r="AA83" s="25" t="n"/>
    </row>
    <row r="84" ht="33" customHeight="1">
      <c r="A84" s="22" t="n">
        <v>72</v>
      </c>
      <c r="B84" s="26" t="n">
        <v>28</v>
      </c>
      <c r="C84" s="54">
        <f>IF(SUM($V84:$AA84), ROUND(V84/SUM($V84:$AA84), 2),0)</f>
        <v/>
      </c>
      <c r="D84" s="54">
        <f>IF(SUM($V84:$AA84), ROUND(W84/SUM($V84:$AA84), 2),0)</f>
        <v/>
      </c>
      <c r="E84" s="54">
        <f>IF(SUM($V84:$AA84), ROUND(X84/SUM($V84:$AA84), 2),0)</f>
        <v/>
      </c>
      <c r="F84" s="54">
        <f>IF(SUM($V84:$AA84), ROUND(Y84/SUM($V84:$AA84), 2),0)</f>
        <v/>
      </c>
      <c r="G84" s="54">
        <f>IF(SUM($V84:$AA84), ROUND(Z84/SUM($V84:$AA84), 2),0)</f>
        <v/>
      </c>
      <c r="H84" s="54">
        <f>IF(SUM($V84:$AA84), ROUND(AA84/SUM($V84:$AA84), 2),0)</f>
        <v/>
      </c>
      <c r="I84" s="24">
        <f>SUM(C84:H84)</f>
        <v/>
      </c>
      <c r="J84" s="24">
        <f>IF(I84&gt;0,0,B84)</f>
        <v/>
      </c>
      <c r="K84" s="24">
        <f>IF(I84&gt;0,B84,0)</f>
        <v/>
      </c>
      <c r="L84" s="25">
        <f>IF(B84&gt;0,(ABS(B84-$J$115)),0)</f>
        <v/>
      </c>
      <c r="M84" s="25">
        <f>IF(I84&gt;0,0,L84)</f>
        <v/>
      </c>
      <c r="O84" s="25">
        <f>C84*$L84</f>
        <v/>
      </c>
      <c r="P84" s="25">
        <f>D84*$L84</f>
        <v/>
      </c>
      <c r="Q84" s="25">
        <f>E84*$L84</f>
        <v/>
      </c>
      <c r="R84" s="25">
        <f>F84*$L84</f>
        <v/>
      </c>
      <c r="S84" s="25">
        <f>G84*$L84</f>
        <v/>
      </c>
      <c r="T84" s="25">
        <f>H84*$L84</f>
        <v/>
      </c>
      <c r="V84" s="25" t="n"/>
      <c r="W84" s="25" t="n"/>
      <c r="X84" s="25" t="n"/>
      <c r="Y84" s="25" t="n"/>
      <c r="Z84" s="25" t="n"/>
      <c r="AA84" s="25" t="n"/>
    </row>
    <row r="85" ht="33" customHeight="1">
      <c r="A85" s="22" t="n">
        <v>73</v>
      </c>
      <c r="B85" s="26" t="n">
        <v>69</v>
      </c>
      <c r="C85" s="54">
        <f>IF(SUM($V85:$AA85), ROUND(V85/SUM($V85:$AA85), 2),0)</f>
        <v/>
      </c>
      <c r="D85" s="54">
        <f>IF(SUM($V85:$AA85), ROUND(W85/SUM($V85:$AA85), 2),0)</f>
        <v/>
      </c>
      <c r="E85" s="54">
        <f>IF(SUM($V85:$AA85), ROUND(X85/SUM($V85:$AA85), 2),0)</f>
        <v/>
      </c>
      <c r="F85" s="54">
        <f>IF(SUM($V85:$AA85), ROUND(Y85/SUM($V85:$AA85), 2),0)</f>
        <v/>
      </c>
      <c r="G85" s="54">
        <f>IF(SUM($V85:$AA85), ROUND(Z85/SUM($V85:$AA85), 2),0)</f>
        <v/>
      </c>
      <c r="H85" s="54">
        <f>IF(SUM($V85:$AA85), ROUND(AA85/SUM($V85:$AA85), 2),0)</f>
        <v/>
      </c>
      <c r="I85" s="24">
        <f>SUM(C85:H85)</f>
        <v/>
      </c>
      <c r="J85" s="24">
        <f>IF(I85&gt;0,0,B85)</f>
        <v/>
      </c>
      <c r="K85" s="24">
        <f>IF(I85&gt;0,B85,0)</f>
        <v/>
      </c>
      <c r="L85" s="25">
        <f>IF(B85&gt;0,(ABS(B85-$J$115)),0)</f>
        <v/>
      </c>
      <c r="M85" s="25">
        <f>IF(I85&gt;0,0,L85)</f>
        <v/>
      </c>
      <c r="O85" s="25">
        <f>C85*$L85</f>
        <v/>
      </c>
      <c r="P85" s="25">
        <f>D85*$L85</f>
        <v/>
      </c>
      <c r="Q85" s="25">
        <f>E85*$L85</f>
        <v/>
      </c>
      <c r="R85" s="25">
        <f>F85*$L85</f>
        <v/>
      </c>
      <c r="S85" s="25">
        <f>G85*$L85</f>
        <v/>
      </c>
      <c r="T85" s="25">
        <f>H85*$L85</f>
        <v/>
      </c>
      <c r="V85" s="25" t="n"/>
      <c r="W85" s="25" t="n"/>
      <c r="X85" s="25" t="n"/>
      <c r="Y85" s="25" t="n">
        <v>49</v>
      </c>
      <c r="Z85" s="25" t="n"/>
      <c r="AA85" s="25" t="n"/>
    </row>
    <row r="86" ht="33" customHeight="1">
      <c r="A86" s="22" t="n">
        <v>74</v>
      </c>
      <c r="B86" s="26" t="n">
        <v>16</v>
      </c>
      <c r="C86" s="54">
        <f>IF(SUM($V86:$AA86), ROUND(V86/SUM($V86:$AA86), 2),0)</f>
        <v/>
      </c>
      <c r="D86" s="54">
        <f>IF(SUM($V86:$AA86), ROUND(W86/SUM($V86:$AA86), 2),0)</f>
        <v/>
      </c>
      <c r="E86" s="54">
        <f>IF(SUM($V86:$AA86), ROUND(X86/SUM($V86:$AA86), 2),0)</f>
        <v/>
      </c>
      <c r="F86" s="54">
        <f>IF(SUM($V86:$AA86), ROUND(Y86/SUM($V86:$AA86), 2),0)</f>
        <v/>
      </c>
      <c r="G86" s="54">
        <f>IF(SUM($V86:$AA86), ROUND(Z86/SUM($V86:$AA86), 2),0)</f>
        <v/>
      </c>
      <c r="H86" s="54">
        <f>IF(SUM($V86:$AA86), ROUND(AA86/SUM($V86:$AA86), 2),0)</f>
        <v/>
      </c>
      <c r="I86" s="24">
        <f>SUM(C86:H86)</f>
        <v/>
      </c>
      <c r="J86" s="24">
        <f>IF(I86&gt;0,0,B86)</f>
        <v/>
      </c>
      <c r="K86" s="24">
        <f>IF(I86&gt;0,B86,0)</f>
        <v/>
      </c>
      <c r="L86" s="25">
        <f>IF(B86&gt;0,(ABS(B86-$J$115)),0)</f>
        <v/>
      </c>
      <c r="M86" s="25">
        <f>IF(I86&gt;0,0,L86)</f>
        <v/>
      </c>
      <c r="O86" s="25">
        <f>C86*$L86</f>
        <v/>
      </c>
      <c r="P86" s="25">
        <f>D86*$L86</f>
        <v/>
      </c>
      <c r="Q86" s="25">
        <f>E86*$L86</f>
        <v/>
      </c>
      <c r="R86" s="25">
        <f>F86*$L86</f>
        <v/>
      </c>
      <c r="S86" s="25">
        <f>G86*$L86</f>
        <v/>
      </c>
      <c r="T86" s="25">
        <f>H86*$L86</f>
        <v/>
      </c>
      <c r="V86" s="25" t="n"/>
      <c r="W86" s="25" t="n"/>
      <c r="X86" s="25" t="n"/>
      <c r="Y86" s="25" t="n"/>
      <c r="Z86" s="25" t="n"/>
      <c r="AA86" s="25" t="n"/>
    </row>
    <row r="87" ht="33" customHeight="1">
      <c r="A87" s="22" t="n">
        <v>75</v>
      </c>
      <c r="B87" s="26" t="n">
        <v>21</v>
      </c>
      <c r="C87" s="54">
        <f>IF(SUM($V87:$AA87), ROUND(V87/SUM($V87:$AA87), 2),0)</f>
        <v/>
      </c>
      <c r="D87" s="54">
        <f>IF(SUM($V87:$AA87), ROUND(W87/SUM($V87:$AA87), 2),0)</f>
        <v/>
      </c>
      <c r="E87" s="54">
        <f>IF(SUM($V87:$AA87), ROUND(X87/SUM($V87:$AA87), 2),0)</f>
        <v/>
      </c>
      <c r="F87" s="54">
        <f>IF(SUM($V87:$AA87), ROUND(Y87/SUM($V87:$AA87), 2),0)</f>
        <v/>
      </c>
      <c r="G87" s="54">
        <f>IF(SUM($V87:$AA87), ROUND(Z87/SUM($V87:$AA87), 2),0)</f>
        <v/>
      </c>
      <c r="H87" s="54">
        <f>IF(SUM($V87:$AA87), ROUND(AA87/SUM($V87:$AA87), 2),0)</f>
        <v/>
      </c>
      <c r="I87" s="24">
        <f>SUM(C87:H87)</f>
        <v/>
      </c>
      <c r="J87" s="24">
        <f>IF(I87&gt;0,0,B87)</f>
        <v/>
      </c>
      <c r="K87" s="24">
        <f>IF(I87&gt;0,B87,0)</f>
        <v/>
      </c>
      <c r="L87" s="25">
        <f>IF(B87&gt;0,(ABS(B87-$J$115)),0)</f>
        <v/>
      </c>
      <c r="M87" s="25">
        <f>IF(I87&gt;0,0,L87)</f>
        <v/>
      </c>
      <c r="O87" s="25">
        <f>C87*$L87</f>
        <v/>
      </c>
      <c r="P87" s="25">
        <f>D87*$L87</f>
        <v/>
      </c>
      <c r="Q87" s="25">
        <f>E87*$L87</f>
        <v/>
      </c>
      <c r="R87" s="25">
        <f>F87*$L87</f>
        <v/>
      </c>
      <c r="S87" s="25">
        <f>G87*$L87</f>
        <v/>
      </c>
      <c r="T87" s="25">
        <f>H87*$L87</f>
        <v/>
      </c>
      <c r="V87" s="25" t="n"/>
      <c r="W87" s="25" t="n"/>
      <c r="X87" s="25" t="n"/>
      <c r="Y87" s="25" t="n"/>
      <c r="Z87" s="25" t="n"/>
      <c r="AA87" s="25" t="n"/>
    </row>
    <row r="88" ht="33" customHeight="1">
      <c r="A88" s="22" t="n">
        <v>76</v>
      </c>
      <c r="B88" s="26" t="n">
        <v>26</v>
      </c>
      <c r="C88" s="54">
        <f>IF(SUM($V88:$AA88), ROUND(V88/SUM($V88:$AA88), 2),0)</f>
        <v/>
      </c>
      <c r="D88" s="54">
        <f>IF(SUM($V88:$AA88), ROUND(W88/SUM($V88:$AA88), 2),0)</f>
        <v/>
      </c>
      <c r="E88" s="54">
        <f>IF(SUM($V88:$AA88), ROUND(X88/SUM($V88:$AA88), 2),0)</f>
        <v/>
      </c>
      <c r="F88" s="54">
        <f>IF(SUM($V88:$AA88), ROUND(Y88/SUM($V88:$AA88), 2),0)</f>
        <v/>
      </c>
      <c r="G88" s="54">
        <f>IF(SUM($V88:$AA88), ROUND(Z88/SUM($V88:$AA88), 2),0)</f>
        <v/>
      </c>
      <c r="H88" s="54">
        <f>IF(SUM($V88:$AA88), ROUND(AA88/SUM($V88:$AA88), 2),0)</f>
        <v/>
      </c>
      <c r="I88" s="24">
        <f>SUM(C88:H88)</f>
        <v/>
      </c>
      <c r="J88" s="24">
        <f>IF(I88&gt;0,0,B88)</f>
        <v/>
      </c>
      <c r="K88" s="24">
        <f>IF(I88&gt;0,B88,0)</f>
        <v/>
      </c>
      <c r="L88" s="25">
        <f>IF(B88&gt;0,(ABS(B88-$J$115)),0)</f>
        <v/>
      </c>
      <c r="M88" s="25">
        <f>IF(I88&gt;0,0,L88)</f>
        <v/>
      </c>
      <c r="O88" s="25">
        <f>C88*$L88</f>
        <v/>
      </c>
      <c r="P88" s="25">
        <f>D88*$L88</f>
        <v/>
      </c>
      <c r="Q88" s="25">
        <f>E88*$L88</f>
        <v/>
      </c>
      <c r="R88" s="25">
        <f>F88*$L88</f>
        <v/>
      </c>
      <c r="S88" s="25">
        <f>G88*$L88</f>
        <v/>
      </c>
      <c r="T88" s="25">
        <f>H88*$L88</f>
        <v/>
      </c>
      <c r="V88" s="25" t="n"/>
      <c r="W88" s="25" t="n"/>
      <c r="X88" s="25" t="n"/>
      <c r="Y88" s="25" t="n"/>
      <c r="Z88" s="25" t="n"/>
      <c r="AA88" s="25" t="n"/>
    </row>
    <row r="89" ht="33" customHeight="1">
      <c r="A89" s="22" t="n">
        <v>77</v>
      </c>
      <c r="B89" s="26" t="n">
        <v>22</v>
      </c>
      <c r="C89" s="54">
        <f>IF(SUM($V89:$AA89), ROUND(V89/SUM($V89:$AA89), 2),0)</f>
        <v/>
      </c>
      <c r="D89" s="54">
        <f>IF(SUM($V89:$AA89), ROUND(W89/SUM($V89:$AA89), 2),0)</f>
        <v/>
      </c>
      <c r="E89" s="54">
        <f>IF(SUM($V89:$AA89), ROUND(X89/SUM($V89:$AA89), 2),0)</f>
        <v/>
      </c>
      <c r="F89" s="54">
        <f>IF(SUM($V89:$AA89), ROUND(Y89/SUM($V89:$AA89), 2),0)</f>
        <v/>
      </c>
      <c r="G89" s="54">
        <f>IF(SUM($V89:$AA89), ROUND(Z89/SUM($V89:$AA89), 2),0)</f>
        <v/>
      </c>
      <c r="H89" s="54">
        <f>IF(SUM($V89:$AA89), ROUND(AA89/SUM($V89:$AA89), 2),0)</f>
        <v/>
      </c>
      <c r="I89" s="24">
        <f>SUM(C89:H89)</f>
        <v/>
      </c>
      <c r="J89" s="24">
        <f>IF(I89&gt;0,0,B89)</f>
        <v/>
      </c>
      <c r="K89" s="24">
        <f>IF(I89&gt;0,B89,0)</f>
        <v/>
      </c>
      <c r="L89" s="25">
        <f>IF(B89&gt;0,(ABS(B89-$J$115)),0)</f>
        <v/>
      </c>
      <c r="M89" s="25">
        <f>IF(I89&gt;0,0,L89)</f>
        <v/>
      </c>
      <c r="O89" s="25">
        <f>C89*$L89</f>
        <v/>
      </c>
      <c r="P89" s="25">
        <f>D89*$L89</f>
        <v/>
      </c>
      <c r="Q89" s="25">
        <f>E89*$L89</f>
        <v/>
      </c>
      <c r="R89" s="25">
        <f>F89*$L89</f>
        <v/>
      </c>
      <c r="S89" s="25">
        <f>G89*$L89</f>
        <v/>
      </c>
      <c r="T89" s="25">
        <f>H89*$L89</f>
        <v/>
      </c>
      <c r="V89" s="25" t="n"/>
      <c r="W89" s="25" t="n"/>
      <c r="X89" s="25" t="n"/>
      <c r="Y89" s="25" t="n"/>
      <c r="Z89" s="25" t="n"/>
      <c r="AA89" s="25" t="n"/>
    </row>
    <row r="90" ht="33" customHeight="1">
      <c r="A90" s="22" t="n">
        <v>78</v>
      </c>
      <c r="B90" s="26" t="n">
        <v>19</v>
      </c>
      <c r="C90" s="54">
        <f>IF(SUM($V90:$AA90), ROUND(V90/SUM($V90:$AA90), 2),0)</f>
        <v/>
      </c>
      <c r="D90" s="54">
        <f>IF(SUM($V90:$AA90), ROUND(W90/SUM($V90:$AA90), 2),0)</f>
        <v/>
      </c>
      <c r="E90" s="54">
        <f>IF(SUM($V90:$AA90), ROUND(X90/SUM($V90:$AA90), 2),0)</f>
        <v/>
      </c>
      <c r="F90" s="54">
        <f>IF(SUM($V90:$AA90), ROUND(Y90/SUM($V90:$AA90), 2),0)</f>
        <v/>
      </c>
      <c r="G90" s="54">
        <f>IF(SUM($V90:$AA90), ROUND(Z90/SUM($V90:$AA90), 2),0)</f>
        <v/>
      </c>
      <c r="H90" s="54">
        <f>IF(SUM($V90:$AA90), ROUND(AA90/SUM($V90:$AA90), 2),0)</f>
        <v/>
      </c>
      <c r="I90" s="24">
        <f>SUM(C90:H90)</f>
        <v/>
      </c>
      <c r="J90" s="24">
        <f>IF(I90&gt;0,0,B90)</f>
        <v/>
      </c>
      <c r="K90" s="24">
        <f>IF(I90&gt;0,B90,0)</f>
        <v/>
      </c>
      <c r="L90" s="25">
        <f>IF(B90&gt;0,(ABS(B90-$J$115)),0)</f>
        <v/>
      </c>
      <c r="M90" s="25">
        <f>IF(I90&gt;0,0,L90)</f>
        <v/>
      </c>
      <c r="O90" s="25">
        <f>C90*$L90</f>
        <v/>
      </c>
      <c r="P90" s="25">
        <f>D90*$L90</f>
        <v/>
      </c>
      <c r="Q90" s="25">
        <f>E90*$L90</f>
        <v/>
      </c>
      <c r="R90" s="25">
        <f>F90*$L90</f>
        <v/>
      </c>
      <c r="S90" s="25">
        <f>G90*$L90</f>
        <v/>
      </c>
      <c r="T90" s="25">
        <f>H90*$L90</f>
        <v/>
      </c>
      <c r="V90" s="25" t="n"/>
      <c r="W90" s="25" t="n"/>
      <c r="X90" s="25" t="n"/>
      <c r="Y90" s="25" t="n"/>
      <c r="Z90" s="25" t="n"/>
      <c r="AA90" s="25" t="n"/>
    </row>
    <row r="91" ht="33" customHeight="1">
      <c r="A91" s="22" t="n">
        <v>79</v>
      </c>
      <c r="B91" s="26" t="n">
        <v>18</v>
      </c>
      <c r="C91" s="54">
        <f>IF(SUM($V91:$AA91), ROUND(V91/SUM($V91:$AA91), 2),0)</f>
        <v/>
      </c>
      <c r="D91" s="54">
        <f>IF(SUM($V91:$AA91), ROUND(W91/SUM($V91:$AA91), 2),0)</f>
        <v/>
      </c>
      <c r="E91" s="54">
        <f>IF(SUM($V91:$AA91), ROUND(X91/SUM($V91:$AA91), 2),0)</f>
        <v/>
      </c>
      <c r="F91" s="54">
        <f>IF(SUM($V91:$AA91), ROUND(Y91/SUM($V91:$AA91), 2),0)</f>
        <v/>
      </c>
      <c r="G91" s="54">
        <f>IF(SUM($V91:$AA91), ROUND(Z91/SUM($V91:$AA91), 2),0)</f>
        <v/>
      </c>
      <c r="H91" s="54">
        <f>IF(SUM($V91:$AA91), ROUND(AA91/SUM($V91:$AA91), 2),0)</f>
        <v/>
      </c>
      <c r="I91" s="24">
        <f>SUM(C91:H91)</f>
        <v/>
      </c>
      <c r="J91" s="24">
        <f>IF(I91&gt;0,0,B91)</f>
        <v/>
      </c>
      <c r="K91" s="24">
        <f>IF(I91&gt;0,B91,0)</f>
        <v/>
      </c>
      <c r="L91" s="25">
        <f>IF(B91&gt;0,(ABS(B91-$J$115)),0)</f>
        <v/>
      </c>
      <c r="M91" s="25">
        <f>IF(I91&gt;0,0,L91)</f>
        <v/>
      </c>
      <c r="O91" s="25">
        <f>C91*$L91</f>
        <v/>
      </c>
      <c r="P91" s="25">
        <f>D91*$L91</f>
        <v/>
      </c>
      <c r="Q91" s="25">
        <f>E91*$L91</f>
        <v/>
      </c>
      <c r="R91" s="25">
        <f>F91*$L91</f>
        <v/>
      </c>
      <c r="S91" s="25">
        <f>G91*$L91</f>
        <v/>
      </c>
      <c r="T91" s="25">
        <f>H91*$L91</f>
        <v/>
      </c>
      <c r="V91" s="25" t="n"/>
      <c r="W91" s="25" t="n"/>
      <c r="X91" s="25" t="n"/>
      <c r="Y91" s="25" t="n"/>
      <c r="Z91" s="25" t="n"/>
      <c r="AA91" s="25" t="n"/>
    </row>
    <row r="92" ht="33" customHeight="1">
      <c r="A92" s="22" t="n">
        <v>80</v>
      </c>
      <c r="B92" s="26" t="n">
        <v>36</v>
      </c>
      <c r="C92" s="54">
        <f>IF(SUM($V92:$AA92), ROUND(V92/SUM($V92:$AA92), 2),0)</f>
        <v/>
      </c>
      <c r="D92" s="54">
        <f>IF(SUM($V92:$AA92), ROUND(W92/SUM($V92:$AA92), 2),0)</f>
        <v/>
      </c>
      <c r="E92" s="54">
        <f>IF(SUM($V92:$AA92), ROUND(X92/SUM($V92:$AA92), 2),0)</f>
        <v/>
      </c>
      <c r="F92" s="54">
        <f>IF(SUM($V92:$AA92), ROUND(Y92/SUM($V92:$AA92), 2),0)</f>
        <v/>
      </c>
      <c r="G92" s="54">
        <f>IF(SUM($V92:$AA92), ROUND(Z92/SUM($V92:$AA92), 2),0)</f>
        <v/>
      </c>
      <c r="H92" s="54">
        <f>IF(SUM($V92:$AA92), ROUND(AA92/SUM($V92:$AA92), 2),0)</f>
        <v/>
      </c>
      <c r="I92" s="24">
        <f>SUM(C92:H92)</f>
        <v/>
      </c>
      <c r="J92" s="24">
        <f>IF(I92&gt;0,0,B92)</f>
        <v/>
      </c>
      <c r="K92" s="24">
        <f>IF(I92&gt;0,B92,0)</f>
        <v/>
      </c>
      <c r="L92" s="25">
        <f>IF(B92&gt;0,(ABS(B92-$J$115)),0)</f>
        <v/>
      </c>
      <c r="M92" s="25">
        <f>IF(I92&gt;0,0,L92)</f>
        <v/>
      </c>
      <c r="O92" s="25">
        <f>C92*$L92</f>
        <v/>
      </c>
      <c r="P92" s="25">
        <f>D92*$L92</f>
        <v/>
      </c>
      <c r="Q92" s="25">
        <f>E92*$L92</f>
        <v/>
      </c>
      <c r="R92" s="25">
        <f>F92*$L92</f>
        <v/>
      </c>
      <c r="S92" s="25">
        <f>G92*$L92</f>
        <v/>
      </c>
      <c r="T92" s="25">
        <f>H92*$L92</f>
        <v/>
      </c>
      <c r="V92" s="25" t="n"/>
      <c r="W92" s="25" t="n"/>
      <c r="X92" s="25" t="n"/>
      <c r="Y92" s="25" t="n"/>
      <c r="Z92" s="25" t="n"/>
      <c r="AA92" s="25" t="n"/>
    </row>
    <row r="93" ht="33" customHeight="1">
      <c r="A93" s="22" t="n">
        <v>81</v>
      </c>
      <c r="B93" s="26" t="n">
        <v>23</v>
      </c>
      <c r="C93" s="54">
        <f>IF(SUM($V93:$AA93), ROUND(V93/SUM($V93:$AA93), 2),0)</f>
        <v/>
      </c>
      <c r="D93" s="54">
        <f>IF(SUM($V93:$AA93), ROUND(W93/SUM($V93:$AA93), 2),0)</f>
        <v/>
      </c>
      <c r="E93" s="54">
        <f>IF(SUM($V93:$AA93), ROUND(X93/SUM($V93:$AA93), 2),0)</f>
        <v/>
      </c>
      <c r="F93" s="54">
        <f>IF(SUM($V93:$AA93), ROUND(Y93/SUM($V93:$AA93), 2),0)</f>
        <v/>
      </c>
      <c r="G93" s="54">
        <f>IF(SUM($V93:$AA93), ROUND(Z93/SUM($V93:$AA93), 2),0)</f>
        <v/>
      </c>
      <c r="H93" s="54">
        <f>IF(SUM($V93:$AA93), ROUND(AA93/SUM($V93:$AA93), 2),0)</f>
        <v/>
      </c>
      <c r="I93" s="24">
        <f>SUM(C93:H93)</f>
        <v/>
      </c>
      <c r="J93" s="24">
        <f>IF(I93&gt;0,0,B93)</f>
        <v/>
      </c>
      <c r="K93" s="24">
        <f>IF(I93&gt;0,B93,0)</f>
        <v/>
      </c>
      <c r="L93" s="25">
        <f>IF(B93&gt;0,(ABS(B93-$J$115)),0)</f>
        <v/>
      </c>
      <c r="M93" s="25">
        <f>IF(I93&gt;0,0,L93)</f>
        <v/>
      </c>
      <c r="O93" s="25">
        <f>C93*$L93</f>
        <v/>
      </c>
      <c r="P93" s="25">
        <f>D93*$L93</f>
        <v/>
      </c>
      <c r="Q93" s="25">
        <f>E93*$L93</f>
        <v/>
      </c>
      <c r="R93" s="25">
        <f>F93*$L93</f>
        <v/>
      </c>
      <c r="S93" s="25">
        <f>G93*$L93</f>
        <v/>
      </c>
      <c r="T93" s="25">
        <f>H93*$L93</f>
        <v/>
      </c>
      <c r="V93" s="25" t="n"/>
      <c r="W93" s="25" t="n"/>
      <c r="X93" s="25" t="n"/>
      <c r="Y93" s="25" t="n"/>
      <c r="Z93" s="25" t="n"/>
      <c r="AA93" s="25" t="n"/>
    </row>
    <row r="94" ht="33" customHeight="1">
      <c r="A94" s="22" t="n">
        <v>82</v>
      </c>
      <c r="B94" s="26" t="n">
        <v>24</v>
      </c>
      <c r="C94" s="54">
        <f>IF(SUM($V94:$AA94), ROUND(V94/SUM($V94:$AA94), 2),0)</f>
        <v/>
      </c>
      <c r="D94" s="54">
        <f>IF(SUM($V94:$AA94), ROUND(W94/SUM($V94:$AA94), 2),0)</f>
        <v/>
      </c>
      <c r="E94" s="54">
        <f>IF(SUM($V94:$AA94), ROUND(X94/SUM($V94:$AA94), 2),0)</f>
        <v/>
      </c>
      <c r="F94" s="54">
        <f>IF(SUM($V94:$AA94), ROUND(Y94/SUM($V94:$AA94), 2),0)</f>
        <v/>
      </c>
      <c r="G94" s="54">
        <f>IF(SUM($V94:$AA94), ROUND(Z94/SUM($V94:$AA94), 2),0)</f>
        <v/>
      </c>
      <c r="H94" s="54">
        <f>IF(SUM($V94:$AA94), ROUND(AA94/SUM($V94:$AA94), 2),0)</f>
        <v/>
      </c>
      <c r="I94" s="24">
        <f>SUM(C94:H94)</f>
        <v/>
      </c>
      <c r="J94" s="24">
        <f>IF(I94&gt;0,0,B94)</f>
        <v/>
      </c>
      <c r="K94" s="24">
        <f>IF(I94&gt;0,B94,0)</f>
        <v/>
      </c>
      <c r="L94" s="25">
        <f>IF(B94&gt;0,(ABS(B94-$J$115)),0)</f>
        <v/>
      </c>
      <c r="M94" s="25">
        <f>IF(I94&gt;0,0,L94)</f>
        <v/>
      </c>
      <c r="O94" s="25">
        <f>C94*$L94</f>
        <v/>
      </c>
      <c r="P94" s="25">
        <f>D94*$L94</f>
        <v/>
      </c>
      <c r="Q94" s="25">
        <f>E94*$L94</f>
        <v/>
      </c>
      <c r="R94" s="25">
        <f>F94*$L94</f>
        <v/>
      </c>
      <c r="S94" s="25">
        <f>G94*$L94</f>
        <v/>
      </c>
      <c r="T94" s="25">
        <f>H94*$L94</f>
        <v/>
      </c>
      <c r="V94" s="25" t="n"/>
      <c r="W94" s="25" t="n"/>
      <c r="X94" s="25" t="n"/>
      <c r="Y94" s="25" t="n"/>
      <c r="Z94" s="25" t="n"/>
      <c r="AA94" s="25" t="n"/>
    </row>
    <row r="95" ht="33" customHeight="1">
      <c r="A95" s="22" t="n">
        <v>83</v>
      </c>
      <c r="B95" s="26" t="n">
        <v>153</v>
      </c>
      <c r="C95" s="54">
        <f>IF(SUM($V95:$AA95), ROUND(V95/SUM($V95:$AA95), 2),0)</f>
        <v/>
      </c>
      <c r="D95" s="54">
        <f>IF(SUM($V95:$AA95), ROUND(W95/SUM($V95:$AA95), 2),0)</f>
        <v/>
      </c>
      <c r="E95" s="54">
        <f>IF(SUM($V95:$AA95), ROUND(X95/SUM($V95:$AA95), 2),0)</f>
        <v/>
      </c>
      <c r="F95" s="54">
        <f>IF(SUM($V95:$AA95), ROUND(Y95/SUM($V95:$AA95), 2),0)</f>
        <v/>
      </c>
      <c r="G95" s="54">
        <f>IF(SUM($V95:$AA95), ROUND(Z95/SUM($V95:$AA95), 2),0)</f>
        <v/>
      </c>
      <c r="H95" s="54">
        <f>IF(SUM($V95:$AA95), ROUND(AA95/SUM($V95:$AA95), 2),0)</f>
        <v/>
      </c>
      <c r="I95" s="24">
        <f>SUM(C95:H95)</f>
        <v/>
      </c>
      <c r="J95" s="24">
        <f>IF(I95&gt;0,0,B95)</f>
        <v/>
      </c>
      <c r="K95" s="24">
        <f>IF(I95&gt;0,B95,0)</f>
        <v/>
      </c>
      <c r="L95" s="25">
        <f>IF(B95&gt;0,(ABS(B95-$J$115)),0)</f>
        <v/>
      </c>
      <c r="M95" s="25">
        <f>IF(I95&gt;0,0,L95)</f>
        <v/>
      </c>
      <c r="O95" s="25">
        <f>C95*$L95</f>
        <v/>
      </c>
      <c r="P95" s="25">
        <f>D95*$L95</f>
        <v/>
      </c>
      <c r="Q95" s="25">
        <f>E95*$L95</f>
        <v/>
      </c>
      <c r="R95" s="25">
        <f>F95*$L95</f>
        <v/>
      </c>
      <c r="S95" s="25">
        <f>G95*$L95</f>
        <v/>
      </c>
      <c r="T95" s="25">
        <f>H95*$L95</f>
        <v/>
      </c>
      <c r="V95" s="25" t="n"/>
      <c r="W95" s="25" t="n"/>
      <c r="X95" s="25" t="n"/>
      <c r="Y95" s="25" t="n">
        <v>131</v>
      </c>
      <c r="Z95" s="25" t="n"/>
      <c r="AA95" s="25" t="n"/>
    </row>
    <row r="96" ht="33" customHeight="1">
      <c r="A96" s="22" t="n">
        <v>84</v>
      </c>
      <c r="B96" s="26" t="n">
        <v>20</v>
      </c>
      <c r="C96" s="54">
        <f>IF(SUM($V96:$AA96), ROUND(V96/SUM($V96:$AA96), 2),0)</f>
        <v/>
      </c>
      <c r="D96" s="54">
        <f>IF(SUM($V96:$AA96), ROUND(W96/SUM($V96:$AA96), 2),0)</f>
        <v/>
      </c>
      <c r="E96" s="54">
        <f>IF(SUM($V96:$AA96), ROUND(X96/SUM($V96:$AA96), 2),0)</f>
        <v/>
      </c>
      <c r="F96" s="54">
        <f>IF(SUM($V96:$AA96), ROUND(Y96/SUM($V96:$AA96), 2),0)</f>
        <v/>
      </c>
      <c r="G96" s="54">
        <f>IF(SUM($V96:$AA96), ROUND(Z96/SUM($V96:$AA96), 2),0)</f>
        <v/>
      </c>
      <c r="H96" s="54">
        <f>IF(SUM($V96:$AA96), ROUND(AA96/SUM($V96:$AA96), 2),0)</f>
        <v/>
      </c>
      <c r="I96" s="24">
        <f>SUM(C96:H96)</f>
        <v/>
      </c>
      <c r="J96" s="24">
        <f>IF(I96&gt;0,0,B96)</f>
        <v/>
      </c>
      <c r="K96" s="24">
        <f>IF(I96&gt;0,B96,0)</f>
        <v/>
      </c>
      <c r="L96" s="25">
        <f>IF(B96&gt;0,(ABS(B96-$J$115)),0)</f>
        <v/>
      </c>
      <c r="M96" s="25">
        <f>IF(I96&gt;0,0,L96)</f>
        <v/>
      </c>
      <c r="O96" s="25">
        <f>C96*$L96</f>
        <v/>
      </c>
      <c r="P96" s="25">
        <f>D96*$L96</f>
        <v/>
      </c>
      <c r="Q96" s="25">
        <f>E96*$L96</f>
        <v/>
      </c>
      <c r="R96" s="25">
        <f>F96*$L96</f>
        <v/>
      </c>
      <c r="S96" s="25">
        <f>G96*$L96</f>
        <v/>
      </c>
      <c r="T96" s="25">
        <f>H96*$L96</f>
        <v/>
      </c>
      <c r="V96" s="25" t="n"/>
      <c r="W96" s="25" t="n"/>
      <c r="X96" s="25" t="n"/>
      <c r="Y96" s="25" t="n"/>
      <c r="Z96" s="25" t="n"/>
      <c r="AA96" s="25" t="n"/>
    </row>
    <row r="97" ht="33" customHeight="1">
      <c r="A97" s="22" t="n">
        <v>85</v>
      </c>
      <c r="B97" s="26" t="n">
        <v>16</v>
      </c>
      <c r="C97" s="54">
        <f>IF(SUM($V97:$AA97), ROUND(V97/SUM($V97:$AA97), 2),0)</f>
        <v/>
      </c>
      <c r="D97" s="54">
        <f>IF(SUM($V97:$AA97), ROUND(W97/SUM($V97:$AA97), 2),0)</f>
        <v/>
      </c>
      <c r="E97" s="54">
        <f>IF(SUM($V97:$AA97), ROUND(X97/SUM($V97:$AA97), 2),0)</f>
        <v/>
      </c>
      <c r="F97" s="54">
        <f>IF(SUM($V97:$AA97), ROUND(Y97/SUM($V97:$AA97), 2),0)</f>
        <v/>
      </c>
      <c r="G97" s="54">
        <f>IF(SUM($V97:$AA97), ROUND(Z97/SUM($V97:$AA97), 2),0)</f>
        <v/>
      </c>
      <c r="H97" s="54">
        <f>IF(SUM($V97:$AA97), ROUND(AA97/SUM($V97:$AA97), 2),0)</f>
        <v/>
      </c>
      <c r="I97" s="24">
        <f>SUM(C97:H97)</f>
        <v/>
      </c>
      <c r="J97" s="24">
        <f>IF(I97&gt;0,0,B97)</f>
        <v/>
      </c>
      <c r="K97" s="24">
        <f>IF(I97&gt;0,B97,0)</f>
        <v/>
      </c>
      <c r="L97" s="25">
        <f>IF(B97&gt;0,(ABS(B97-$J$115)),0)</f>
        <v/>
      </c>
      <c r="M97" s="25">
        <f>IF(I97&gt;0,0,L97)</f>
        <v/>
      </c>
      <c r="O97" s="25">
        <f>C97*$L97</f>
        <v/>
      </c>
      <c r="P97" s="25">
        <f>D97*$L97</f>
        <v/>
      </c>
      <c r="Q97" s="25">
        <f>E97*$L97</f>
        <v/>
      </c>
      <c r="R97" s="25">
        <f>F97*$L97</f>
        <v/>
      </c>
      <c r="S97" s="25">
        <f>G97*$L97</f>
        <v/>
      </c>
      <c r="T97" s="25">
        <f>H97*$L97</f>
        <v/>
      </c>
      <c r="V97" s="25" t="n"/>
      <c r="W97" s="25" t="n"/>
      <c r="X97" s="25" t="n"/>
      <c r="Y97" s="25" t="n"/>
      <c r="Z97" s="25" t="n"/>
      <c r="AA97" s="25" t="n"/>
    </row>
    <row r="98" ht="33" customHeight="1">
      <c r="A98" s="22" t="n">
        <v>86</v>
      </c>
      <c r="B98" s="26" t="n">
        <v>21</v>
      </c>
      <c r="C98" s="54">
        <f>IF(SUM($V98:$AA98), ROUND(V98/SUM($V98:$AA98), 2),0)</f>
        <v/>
      </c>
      <c r="D98" s="54">
        <f>IF(SUM($V98:$AA98), ROUND(W98/SUM($V98:$AA98), 2),0)</f>
        <v/>
      </c>
      <c r="E98" s="54">
        <f>IF(SUM($V98:$AA98), ROUND(X98/SUM($V98:$AA98), 2),0)</f>
        <v/>
      </c>
      <c r="F98" s="54">
        <f>IF(SUM($V98:$AA98), ROUND(Y98/SUM($V98:$AA98), 2),0)</f>
        <v/>
      </c>
      <c r="G98" s="54">
        <f>IF(SUM($V98:$AA98), ROUND(Z98/SUM($V98:$AA98), 2),0)</f>
        <v/>
      </c>
      <c r="H98" s="54">
        <f>IF(SUM($V98:$AA98), ROUND(AA98/SUM($V98:$AA98), 2),0)</f>
        <v/>
      </c>
      <c r="I98" s="24">
        <f>SUM(C98:H98)</f>
        <v/>
      </c>
      <c r="J98" s="24">
        <f>IF(I98&gt;0,0,B98)</f>
        <v/>
      </c>
      <c r="K98" s="24">
        <f>IF(I98&gt;0,B98,0)</f>
        <v/>
      </c>
      <c r="L98" s="25">
        <f>IF(B98&gt;0,(ABS(B98-$J$115)),0)</f>
        <v/>
      </c>
      <c r="M98" s="25">
        <f>IF(I98&gt;0,0,L98)</f>
        <v/>
      </c>
      <c r="O98" s="25">
        <f>C98*$L98</f>
        <v/>
      </c>
      <c r="P98" s="25">
        <f>D98*$L98</f>
        <v/>
      </c>
      <c r="Q98" s="25">
        <f>E98*$L98</f>
        <v/>
      </c>
      <c r="R98" s="25">
        <f>F98*$L98</f>
        <v/>
      </c>
      <c r="S98" s="25">
        <f>G98*$L98</f>
        <v/>
      </c>
      <c r="T98" s="25">
        <f>H98*$L98</f>
        <v/>
      </c>
      <c r="V98" s="25" t="n"/>
      <c r="W98" s="25" t="n"/>
      <c r="X98" s="25" t="n"/>
      <c r="Y98" s="25" t="n"/>
      <c r="Z98" s="25" t="n"/>
      <c r="AA98" s="25" t="n"/>
    </row>
    <row r="99" ht="33" customHeight="1">
      <c r="A99" s="22" t="n">
        <v>87</v>
      </c>
      <c r="B99" s="26" t="n">
        <v>16</v>
      </c>
      <c r="C99" s="54">
        <f>IF(SUM($V99:$AA99), ROUND(V99/SUM($V99:$AA99), 2),0)</f>
        <v/>
      </c>
      <c r="D99" s="54">
        <f>IF(SUM($V99:$AA99), ROUND(W99/SUM($V99:$AA99), 2),0)</f>
        <v/>
      </c>
      <c r="E99" s="54">
        <f>IF(SUM($V99:$AA99), ROUND(X99/SUM($V99:$AA99), 2),0)</f>
        <v/>
      </c>
      <c r="F99" s="54">
        <f>IF(SUM($V99:$AA99), ROUND(Y99/SUM($V99:$AA99), 2),0)</f>
        <v/>
      </c>
      <c r="G99" s="54">
        <f>IF(SUM($V99:$AA99), ROUND(Z99/SUM($V99:$AA99), 2),0)</f>
        <v/>
      </c>
      <c r="H99" s="54">
        <f>IF(SUM($V99:$AA99), ROUND(AA99/SUM($V99:$AA99), 2),0)</f>
        <v/>
      </c>
      <c r="I99" s="24">
        <f>SUM(C99:H99)</f>
        <v/>
      </c>
      <c r="J99" s="24">
        <f>IF(I99&gt;0,0,B99)</f>
        <v/>
      </c>
      <c r="K99" s="24">
        <f>IF(I99&gt;0,B99,0)</f>
        <v/>
      </c>
      <c r="L99" s="25">
        <f>IF(B99&gt;0,(ABS(B99-$J$115)),0)</f>
        <v/>
      </c>
      <c r="M99" s="25">
        <f>IF(I99&gt;0,0,L99)</f>
        <v/>
      </c>
      <c r="O99" s="25">
        <f>C99*$L99</f>
        <v/>
      </c>
      <c r="P99" s="25">
        <f>D99*$L99</f>
        <v/>
      </c>
      <c r="Q99" s="25">
        <f>E99*$L99</f>
        <v/>
      </c>
      <c r="R99" s="25">
        <f>F99*$L99</f>
        <v/>
      </c>
      <c r="S99" s="25">
        <f>G99*$L99</f>
        <v/>
      </c>
      <c r="T99" s="25">
        <f>H99*$L99</f>
        <v/>
      </c>
      <c r="V99" s="25" t="n"/>
      <c r="W99" s="25" t="n"/>
      <c r="X99" s="25" t="n"/>
      <c r="Y99" s="25" t="n"/>
      <c r="Z99" s="25" t="n"/>
      <c r="AA99" s="25" t="n"/>
    </row>
    <row r="100" ht="33" customHeight="1">
      <c r="A100" s="22" t="n">
        <v>88</v>
      </c>
      <c r="B100" s="26" t="n">
        <v>16</v>
      </c>
      <c r="C100" s="54">
        <f>IF(SUM($V100:$AA100), ROUND(V100/SUM($V100:$AA100), 2),0)</f>
        <v/>
      </c>
      <c r="D100" s="54">
        <f>IF(SUM($V100:$AA100), ROUND(W100/SUM($V100:$AA100), 2),0)</f>
        <v/>
      </c>
      <c r="E100" s="54">
        <f>IF(SUM($V100:$AA100), ROUND(X100/SUM($V100:$AA100), 2),0)</f>
        <v/>
      </c>
      <c r="F100" s="54">
        <f>IF(SUM($V100:$AA100), ROUND(Y100/SUM($V100:$AA100), 2),0)</f>
        <v/>
      </c>
      <c r="G100" s="54">
        <f>IF(SUM($V100:$AA100), ROUND(Z100/SUM($V100:$AA100), 2),0)</f>
        <v/>
      </c>
      <c r="H100" s="54">
        <f>IF(SUM($V100:$AA100), ROUND(AA100/SUM($V100:$AA100), 2),0)</f>
        <v/>
      </c>
      <c r="I100" s="24">
        <f>SUM(C100:H100)</f>
        <v/>
      </c>
      <c r="J100" s="24">
        <f>IF(I100&gt;0,0,B100)</f>
        <v/>
      </c>
      <c r="K100" s="24">
        <f>IF(I100&gt;0,B100,0)</f>
        <v/>
      </c>
      <c r="L100" s="25">
        <f>IF(B100&gt;0,(ABS(B100-$J$115)),0)</f>
        <v/>
      </c>
      <c r="M100" s="25">
        <f>IF(I100&gt;0,0,L100)</f>
        <v/>
      </c>
      <c r="O100" s="25">
        <f>C100*$L100</f>
        <v/>
      </c>
      <c r="P100" s="25">
        <f>D100*$L100</f>
        <v/>
      </c>
      <c r="Q100" s="25">
        <f>E100*$L100</f>
        <v/>
      </c>
      <c r="R100" s="25">
        <f>F100*$L100</f>
        <v/>
      </c>
      <c r="S100" s="25">
        <f>G100*$L100</f>
        <v/>
      </c>
      <c r="T100" s="25">
        <f>H100*$L100</f>
        <v/>
      </c>
      <c r="V100" s="25" t="n"/>
      <c r="W100" s="25" t="n"/>
      <c r="X100" s="25" t="n"/>
      <c r="Y100" s="25" t="n"/>
      <c r="Z100" s="25" t="n"/>
      <c r="AA100" s="25" t="n"/>
    </row>
    <row r="101" ht="33" customHeight="1">
      <c r="A101" s="22" t="n">
        <v>89</v>
      </c>
      <c r="B101" s="26" t="n">
        <v>16</v>
      </c>
      <c r="C101" s="54">
        <f>IF(SUM($V101:$AA101), ROUND(V101/SUM($V101:$AA101), 2),0)</f>
        <v/>
      </c>
      <c r="D101" s="54">
        <f>IF(SUM($V101:$AA101), ROUND(W101/SUM($V101:$AA101), 2),0)</f>
        <v/>
      </c>
      <c r="E101" s="54">
        <f>IF(SUM($V101:$AA101), ROUND(X101/SUM($V101:$AA101), 2),0)</f>
        <v/>
      </c>
      <c r="F101" s="54">
        <f>IF(SUM($V101:$AA101), ROUND(Y101/SUM($V101:$AA101), 2),0)</f>
        <v/>
      </c>
      <c r="G101" s="54">
        <f>IF(SUM($V101:$AA101), ROUND(Z101/SUM($V101:$AA101), 2),0)</f>
        <v/>
      </c>
      <c r="H101" s="54">
        <f>IF(SUM($V101:$AA101), ROUND(AA101/SUM($V101:$AA101), 2),0)</f>
        <v/>
      </c>
      <c r="I101" s="24">
        <f>SUM(C101:H101)</f>
        <v/>
      </c>
      <c r="J101" s="24">
        <f>IF(I101&gt;0,0,B101)</f>
        <v/>
      </c>
      <c r="K101" s="24">
        <f>IF(I101&gt;0,B101,0)</f>
        <v/>
      </c>
      <c r="L101" s="25">
        <f>IF(B101&gt;0,(ABS(B101-$J$115)),0)</f>
        <v/>
      </c>
      <c r="M101" s="25">
        <f>IF(I101&gt;0,0,L101)</f>
        <v/>
      </c>
      <c r="O101" s="25">
        <f>C101*$L101</f>
        <v/>
      </c>
      <c r="P101" s="25">
        <f>D101*$L101</f>
        <v/>
      </c>
      <c r="Q101" s="25">
        <f>E101*$L101</f>
        <v/>
      </c>
      <c r="R101" s="25">
        <f>F101*$L101</f>
        <v/>
      </c>
      <c r="S101" s="25">
        <f>G101*$L101</f>
        <v/>
      </c>
      <c r="T101" s="25">
        <f>H101*$L101</f>
        <v/>
      </c>
      <c r="V101" s="25" t="n"/>
      <c r="W101" s="25" t="n"/>
      <c r="X101" s="25" t="n"/>
      <c r="Y101" s="25" t="n"/>
      <c r="Z101" s="25" t="n"/>
      <c r="AA101" s="25" t="n"/>
    </row>
    <row r="102" ht="33" customHeight="1">
      <c r="A102" s="22" t="n">
        <v>90</v>
      </c>
      <c r="B102" s="26" t="n">
        <v>19</v>
      </c>
      <c r="C102" s="54">
        <f>IF(SUM($V102:$AA102), ROUND(V102/SUM($V102:$AA102), 2),0)</f>
        <v/>
      </c>
      <c r="D102" s="54">
        <f>IF(SUM($V102:$AA102), ROUND(W102/SUM($V102:$AA102), 2),0)</f>
        <v/>
      </c>
      <c r="E102" s="54">
        <f>IF(SUM($V102:$AA102), ROUND(X102/SUM($V102:$AA102), 2),0)</f>
        <v/>
      </c>
      <c r="F102" s="54">
        <f>IF(SUM($V102:$AA102), ROUND(Y102/SUM($V102:$AA102), 2),0)</f>
        <v/>
      </c>
      <c r="G102" s="54">
        <f>IF(SUM($V102:$AA102), ROUND(Z102/SUM($V102:$AA102), 2),0)</f>
        <v/>
      </c>
      <c r="H102" s="54">
        <f>IF(SUM($V102:$AA102), ROUND(AA102/SUM($V102:$AA102), 2),0)</f>
        <v/>
      </c>
      <c r="I102" s="24">
        <f>SUM(C102:H102)</f>
        <v/>
      </c>
      <c r="J102" s="24">
        <f>IF(I102&gt;0,0,B102)</f>
        <v/>
      </c>
      <c r="K102" s="24">
        <f>IF(I102&gt;0,B102,0)</f>
        <v/>
      </c>
      <c r="L102" s="25">
        <f>IF(B102&gt;0,(ABS(B102-$J$115)),0)</f>
        <v/>
      </c>
      <c r="M102" s="25">
        <f>IF(I102&gt;0,0,L102)</f>
        <v/>
      </c>
      <c r="O102" s="25">
        <f>C102*$L102</f>
        <v/>
      </c>
      <c r="P102" s="25">
        <f>D102*$L102</f>
        <v/>
      </c>
      <c r="Q102" s="25">
        <f>E102*$L102</f>
        <v/>
      </c>
      <c r="R102" s="25">
        <f>F102*$L102</f>
        <v/>
      </c>
      <c r="S102" s="25">
        <f>G102*$L102</f>
        <v/>
      </c>
      <c r="T102" s="25">
        <f>H102*$L102</f>
        <v/>
      </c>
      <c r="V102" s="25" t="n"/>
      <c r="W102" s="25" t="n"/>
      <c r="X102" s="25" t="n"/>
      <c r="Y102" s="25" t="n"/>
      <c r="Z102" s="25" t="n"/>
      <c r="AA102" s="25" t="n"/>
    </row>
    <row r="103" ht="33" customHeight="1">
      <c r="A103" s="22" t="n">
        <v>91</v>
      </c>
      <c r="B103" s="26" t="n">
        <v>17</v>
      </c>
      <c r="C103" s="54">
        <f>IF(SUM($V103:$AA103), ROUND(V103/SUM($V103:$AA103), 2),0)</f>
        <v/>
      </c>
      <c r="D103" s="54">
        <f>IF(SUM($V103:$AA103), ROUND(W103/SUM($V103:$AA103), 2),0)</f>
        <v/>
      </c>
      <c r="E103" s="54">
        <f>IF(SUM($V103:$AA103), ROUND(X103/SUM($V103:$AA103), 2),0)</f>
        <v/>
      </c>
      <c r="F103" s="54">
        <f>IF(SUM($V103:$AA103), ROUND(Y103/SUM($V103:$AA103), 2),0)</f>
        <v/>
      </c>
      <c r="G103" s="54">
        <f>IF(SUM($V103:$AA103), ROUND(Z103/SUM($V103:$AA103), 2),0)</f>
        <v/>
      </c>
      <c r="H103" s="54">
        <f>IF(SUM($V103:$AA103), ROUND(AA103/SUM($V103:$AA103), 2),0)</f>
        <v/>
      </c>
      <c r="I103" s="24">
        <f>SUM(C103:H103)</f>
        <v/>
      </c>
      <c r="J103" s="24">
        <f>IF(I103&gt;0,0,B103)</f>
        <v/>
      </c>
      <c r="K103" s="24">
        <f>IF(I103&gt;0,B103,0)</f>
        <v/>
      </c>
      <c r="L103" s="25">
        <f>IF(B103&gt;0,(ABS(B103-$J$115)),0)</f>
        <v/>
      </c>
      <c r="M103" s="25">
        <f>IF(I103&gt;0,0,L103)</f>
        <v/>
      </c>
      <c r="O103" s="25">
        <f>C103*$L103</f>
        <v/>
      </c>
      <c r="P103" s="25">
        <f>D103*$L103</f>
        <v/>
      </c>
      <c r="Q103" s="25">
        <f>E103*$L103</f>
        <v/>
      </c>
      <c r="R103" s="25">
        <f>F103*$L103</f>
        <v/>
      </c>
      <c r="S103" s="25">
        <f>G103*$L103</f>
        <v/>
      </c>
      <c r="T103" s="25">
        <f>H103*$L103</f>
        <v/>
      </c>
      <c r="V103" s="25" t="n"/>
      <c r="W103" s="25" t="n"/>
      <c r="X103" s="25" t="n"/>
      <c r="Y103" s="25" t="n"/>
      <c r="Z103" s="25" t="n"/>
      <c r="AA103" s="25" t="n"/>
    </row>
    <row r="104" ht="33" customHeight="1">
      <c r="A104" s="22" t="n">
        <v>92</v>
      </c>
      <c r="B104" s="26" t="n">
        <v>26</v>
      </c>
      <c r="C104" s="54">
        <f>IF(SUM($V104:$AA104), ROUND(V104/SUM($V104:$AA104), 2),0)</f>
        <v/>
      </c>
      <c r="D104" s="54">
        <f>IF(SUM($V104:$AA104), ROUND(W104/SUM($V104:$AA104), 2),0)</f>
        <v/>
      </c>
      <c r="E104" s="54">
        <f>IF(SUM($V104:$AA104), ROUND(X104/SUM($V104:$AA104), 2),0)</f>
        <v/>
      </c>
      <c r="F104" s="54">
        <f>IF(SUM($V104:$AA104), ROUND(Y104/SUM($V104:$AA104), 2),0)</f>
        <v/>
      </c>
      <c r="G104" s="54">
        <f>IF(SUM($V104:$AA104), ROUND(Z104/SUM($V104:$AA104), 2),0)</f>
        <v/>
      </c>
      <c r="H104" s="54">
        <f>IF(SUM($V104:$AA104), ROUND(AA104/SUM($V104:$AA104), 2),0)</f>
        <v/>
      </c>
      <c r="I104" s="24">
        <f>SUM(C104:H104)</f>
        <v/>
      </c>
      <c r="J104" s="24">
        <f>IF(I104&gt;0,0,B104)</f>
        <v/>
      </c>
      <c r="K104" s="24">
        <f>IF(I104&gt;0,B104,0)</f>
        <v/>
      </c>
      <c r="L104" s="25">
        <f>IF(B104&gt;0,(ABS(B104-$J$115)),0)</f>
        <v/>
      </c>
      <c r="M104" s="25">
        <f>IF(I104&gt;0,0,L104)</f>
        <v/>
      </c>
      <c r="O104" s="25">
        <f>C104*$L104</f>
        <v/>
      </c>
      <c r="P104" s="25">
        <f>D104*$L104</f>
        <v/>
      </c>
      <c r="Q104" s="25">
        <f>E104*$L104</f>
        <v/>
      </c>
      <c r="R104" s="25">
        <f>F104*$L104</f>
        <v/>
      </c>
      <c r="S104" s="25">
        <f>G104*$L104</f>
        <v/>
      </c>
      <c r="T104" s="25">
        <f>H104*$L104</f>
        <v/>
      </c>
      <c r="V104" s="25" t="n"/>
      <c r="W104" s="25" t="n"/>
      <c r="X104" s="25" t="n"/>
      <c r="Y104" s="25" t="n"/>
      <c r="Z104" s="25" t="n"/>
      <c r="AA104" s="25" t="n"/>
    </row>
    <row r="105" ht="33" customHeight="1">
      <c r="A105" s="22" t="n">
        <v>93</v>
      </c>
      <c r="B105" s="26" t="n">
        <v>186</v>
      </c>
      <c r="C105" s="54">
        <f>IF(SUM($V105:$AA105), ROUND(V105/SUM($V105:$AA105), 2),0)</f>
        <v/>
      </c>
      <c r="D105" s="54">
        <f>IF(SUM($V105:$AA105), ROUND(W105/SUM($V105:$AA105), 2),0)</f>
        <v/>
      </c>
      <c r="E105" s="54">
        <f>IF(SUM($V105:$AA105), ROUND(X105/SUM($V105:$AA105), 2),0)</f>
        <v/>
      </c>
      <c r="F105" s="54">
        <f>IF(SUM($V105:$AA105), ROUND(Y105/SUM($V105:$AA105), 2),0)</f>
        <v/>
      </c>
      <c r="G105" s="54">
        <f>IF(SUM($V105:$AA105), ROUND(Z105/SUM($V105:$AA105), 2),0)</f>
        <v/>
      </c>
      <c r="H105" s="54">
        <f>IF(SUM($V105:$AA105), ROUND(AA105/SUM($V105:$AA105), 2),0)</f>
        <v/>
      </c>
      <c r="I105" s="24">
        <f>SUM(C105:H105)</f>
        <v/>
      </c>
      <c r="J105" s="24">
        <f>IF(I105&gt;0,0,B105)</f>
        <v/>
      </c>
      <c r="K105" s="24">
        <f>IF(I105&gt;0,B105,0)</f>
        <v/>
      </c>
      <c r="L105" s="25">
        <f>IF(B105&gt;0,(ABS(B105-$J$115)),0)</f>
        <v/>
      </c>
      <c r="M105" s="25">
        <f>IF(I105&gt;0,0,L105)</f>
        <v/>
      </c>
      <c r="O105" s="25">
        <f>C105*$L105</f>
        <v/>
      </c>
      <c r="P105" s="25">
        <f>D105*$L105</f>
        <v/>
      </c>
      <c r="Q105" s="25">
        <f>E105*$L105</f>
        <v/>
      </c>
      <c r="R105" s="25">
        <f>F105*$L105</f>
        <v/>
      </c>
      <c r="S105" s="25">
        <f>G105*$L105</f>
        <v/>
      </c>
      <c r="T105" s="25">
        <f>H105*$L105</f>
        <v/>
      </c>
      <c r="V105" s="25" t="n"/>
      <c r="W105" s="25" t="n"/>
      <c r="X105" s="25" t="n"/>
      <c r="Y105" s="25" t="n">
        <v>170</v>
      </c>
      <c r="Z105" s="25" t="n"/>
      <c r="AA105" s="25" t="n"/>
    </row>
    <row r="106" ht="33" customHeight="1">
      <c r="A106" s="22" t="n">
        <v>94</v>
      </c>
      <c r="B106" s="26" t="n">
        <v>25</v>
      </c>
      <c r="C106" s="54">
        <f>IF(SUM($V106:$AA106), ROUND(V106/SUM($V106:$AA106), 2),0)</f>
        <v/>
      </c>
      <c r="D106" s="54">
        <f>IF(SUM($V106:$AA106), ROUND(W106/SUM($V106:$AA106), 2),0)</f>
        <v/>
      </c>
      <c r="E106" s="54">
        <f>IF(SUM($V106:$AA106), ROUND(X106/SUM($V106:$AA106), 2),0)</f>
        <v/>
      </c>
      <c r="F106" s="54">
        <f>IF(SUM($V106:$AA106), ROUND(Y106/SUM($V106:$AA106), 2),0)</f>
        <v/>
      </c>
      <c r="G106" s="54">
        <f>IF(SUM($V106:$AA106), ROUND(Z106/SUM($V106:$AA106), 2),0)</f>
        <v/>
      </c>
      <c r="H106" s="54">
        <f>IF(SUM($V106:$AA106), ROUND(AA106/SUM($V106:$AA106), 2),0)</f>
        <v/>
      </c>
      <c r="I106" s="24">
        <f>SUM(C106:H106)</f>
        <v/>
      </c>
      <c r="J106" s="24">
        <f>IF(I106&gt;0,0,B106)</f>
        <v/>
      </c>
      <c r="K106" s="24">
        <f>IF(I106&gt;0,B106,0)</f>
        <v/>
      </c>
      <c r="L106" s="25">
        <f>IF(B106&gt;0,(ABS(B106-$J$115)),0)</f>
        <v/>
      </c>
      <c r="M106" s="25">
        <f>IF(I106&gt;0,0,L106)</f>
        <v/>
      </c>
      <c r="O106" s="25">
        <f>C106*$L106</f>
        <v/>
      </c>
      <c r="P106" s="25">
        <f>D106*$L106</f>
        <v/>
      </c>
      <c r="Q106" s="25">
        <f>E106*$L106</f>
        <v/>
      </c>
      <c r="R106" s="25">
        <f>F106*$L106</f>
        <v/>
      </c>
      <c r="S106" s="25">
        <f>G106*$L106</f>
        <v/>
      </c>
      <c r="T106" s="25">
        <f>H106*$L106</f>
        <v/>
      </c>
      <c r="V106" s="25" t="n"/>
      <c r="W106" s="25" t="n"/>
      <c r="X106" s="25" t="n"/>
      <c r="Y106" s="25" t="n"/>
      <c r="Z106" s="25" t="n"/>
      <c r="AA106" s="25" t="n"/>
    </row>
    <row r="107" ht="33" customHeight="1">
      <c r="A107" s="22" t="n">
        <v>95</v>
      </c>
      <c r="B107" s="26" t="n">
        <v>16</v>
      </c>
      <c r="C107" s="54">
        <f>IF(SUM($V107:$AA107), ROUND(V107/SUM($V107:$AA107), 2),0)</f>
        <v/>
      </c>
      <c r="D107" s="54">
        <f>IF(SUM($V107:$AA107), ROUND(W107/SUM($V107:$AA107), 2),0)</f>
        <v/>
      </c>
      <c r="E107" s="54">
        <f>IF(SUM($V107:$AA107), ROUND(X107/SUM($V107:$AA107), 2),0)</f>
        <v/>
      </c>
      <c r="F107" s="54">
        <f>IF(SUM($V107:$AA107), ROUND(Y107/SUM($V107:$AA107), 2),0)</f>
        <v/>
      </c>
      <c r="G107" s="54">
        <f>IF(SUM($V107:$AA107), ROUND(Z107/SUM($V107:$AA107), 2),0)</f>
        <v/>
      </c>
      <c r="H107" s="54">
        <f>IF(SUM($V107:$AA107), ROUND(AA107/SUM($V107:$AA107), 2),0)</f>
        <v/>
      </c>
      <c r="I107" s="24">
        <f>SUM(C107:H107)</f>
        <v/>
      </c>
      <c r="J107" s="24">
        <f>IF(I107&gt;0,0,B107)</f>
        <v/>
      </c>
      <c r="K107" s="24">
        <f>IF(I107&gt;0,B107,0)</f>
        <v/>
      </c>
      <c r="L107" s="25">
        <f>IF(B107&gt;0,(ABS(B107-$J$115)),0)</f>
        <v/>
      </c>
      <c r="M107" s="25">
        <f>IF(I107&gt;0,0,L107)</f>
        <v/>
      </c>
      <c r="O107" s="25">
        <f>C107*$L107</f>
        <v/>
      </c>
      <c r="P107" s="25">
        <f>D107*$L107</f>
        <v/>
      </c>
      <c r="Q107" s="25">
        <f>E107*$L107</f>
        <v/>
      </c>
      <c r="R107" s="25">
        <f>F107*$L107</f>
        <v/>
      </c>
      <c r="S107" s="25">
        <f>G107*$L107</f>
        <v/>
      </c>
      <c r="T107" s="25">
        <f>H107*$L107</f>
        <v/>
      </c>
      <c r="V107" s="25" t="n"/>
      <c r="W107" s="25" t="n"/>
      <c r="X107" s="25" t="n"/>
      <c r="Y107" s="25" t="n"/>
      <c r="Z107" s="25" t="n"/>
      <c r="AA107" s="25" t="n"/>
    </row>
    <row r="108" ht="33" customHeight="1">
      <c r="A108" s="22" t="n">
        <v>96</v>
      </c>
      <c r="B108" s="26" t="n">
        <v>19</v>
      </c>
      <c r="C108" s="54">
        <f>IF(SUM($V108:$AA108), ROUND(V108/SUM($V108:$AA108), 2),0)</f>
        <v/>
      </c>
      <c r="D108" s="54">
        <f>IF(SUM($V108:$AA108), ROUND(W108/SUM($V108:$AA108), 2),0)</f>
        <v/>
      </c>
      <c r="E108" s="54">
        <f>IF(SUM($V108:$AA108), ROUND(X108/SUM($V108:$AA108), 2),0)</f>
        <v/>
      </c>
      <c r="F108" s="54">
        <f>IF(SUM($V108:$AA108), ROUND(Y108/SUM($V108:$AA108), 2),0)</f>
        <v/>
      </c>
      <c r="G108" s="54">
        <f>IF(SUM($V108:$AA108), ROUND(Z108/SUM($V108:$AA108), 2),0)</f>
        <v/>
      </c>
      <c r="H108" s="54">
        <f>IF(SUM($V108:$AA108), ROUND(AA108/SUM($V108:$AA108), 2),0)</f>
        <v/>
      </c>
      <c r="I108" s="24">
        <f>SUM(C108:H108)</f>
        <v/>
      </c>
      <c r="J108" s="24">
        <f>IF(I108&gt;0,0,B108)</f>
        <v/>
      </c>
      <c r="K108" s="24">
        <f>IF(I108&gt;0,B108,0)</f>
        <v/>
      </c>
      <c r="L108" s="25">
        <f>IF(B108&gt;0,(ABS(B108-$J$115)),0)</f>
        <v/>
      </c>
      <c r="M108" s="25">
        <f>IF(I108&gt;0,0,L108)</f>
        <v/>
      </c>
      <c r="O108" s="25">
        <f>C108*$L108</f>
        <v/>
      </c>
      <c r="P108" s="25">
        <f>D108*$L108</f>
        <v/>
      </c>
      <c r="Q108" s="25">
        <f>E108*$L108</f>
        <v/>
      </c>
      <c r="R108" s="25">
        <f>F108*$L108</f>
        <v/>
      </c>
      <c r="S108" s="25">
        <f>G108*$L108</f>
        <v/>
      </c>
      <c r="T108" s="25">
        <f>H108*$L108</f>
        <v/>
      </c>
      <c r="V108" s="25" t="n"/>
      <c r="W108" s="25" t="n"/>
      <c r="X108" s="25" t="n"/>
      <c r="Y108" s="25" t="n"/>
      <c r="Z108" s="25" t="n"/>
      <c r="AA108" s="25" t="n"/>
    </row>
    <row r="109" ht="33" customHeight="1">
      <c r="A109" s="22" t="n">
        <v>97</v>
      </c>
      <c r="B109" s="26" t="n">
        <v>31</v>
      </c>
      <c r="C109" s="54">
        <f>IF(SUM($V109:$AA109), ROUND(V109/SUM($V109:$AA109), 2),0)</f>
        <v/>
      </c>
      <c r="D109" s="54">
        <f>IF(SUM($V109:$AA109), ROUND(W109/SUM($V109:$AA109), 2),0)</f>
        <v/>
      </c>
      <c r="E109" s="54">
        <f>IF(SUM($V109:$AA109), ROUND(X109/SUM($V109:$AA109), 2),0)</f>
        <v/>
      </c>
      <c r="F109" s="54">
        <f>IF(SUM($V109:$AA109), ROUND(Y109/SUM($V109:$AA109), 2),0)</f>
        <v/>
      </c>
      <c r="G109" s="54">
        <f>IF(SUM($V109:$AA109), ROUND(Z109/SUM($V109:$AA109), 2),0)</f>
        <v/>
      </c>
      <c r="H109" s="54">
        <f>IF(SUM($V109:$AA109), ROUND(AA109/SUM($V109:$AA109), 2),0)</f>
        <v/>
      </c>
      <c r="I109" s="24">
        <f>SUM(C109:H109)</f>
        <v/>
      </c>
      <c r="J109" s="24">
        <f>IF(I109&gt;0,0,B109)</f>
        <v/>
      </c>
      <c r="K109" s="24">
        <f>IF(I109&gt;0,B109,0)</f>
        <v/>
      </c>
      <c r="L109" s="25">
        <f>IF(B109&gt;0,(ABS(B109-$J$115)),0)</f>
        <v/>
      </c>
      <c r="M109" s="25">
        <f>IF(I109&gt;0,0,L109)</f>
        <v/>
      </c>
      <c r="O109" s="25">
        <f>C109*$L109</f>
        <v/>
      </c>
      <c r="P109" s="25">
        <f>D109*$L109</f>
        <v/>
      </c>
      <c r="Q109" s="25">
        <f>E109*$L109</f>
        <v/>
      </c>
      <c r="R109" s="25">
        <f>F109*$L109</f>
        <v/>
      </c>
      <c r="S109" s="25">
        <f>G109*$L109</f>
        <v/>
      </c>
      <c r="T109" s="25">
        <f>H109*$L109</f>
        <v/>
      </c>
      <c r="V109" s="25" t="n"/>
      <c r="W109" s="25" t="n"/>
      <c r="X109" s="25" t="n"/>
      <c r="Y109" s="25" t="n"/>
      <c r="Z109" s="25" t="n"/>
      <c r="AA109" s="25" t="n"/>
    </row>
    <row r="110" ht="33" customHeight="1">
      <c r="A110" s="22" t="n">
        <v>98</v>
      </c>
      <c r="B110" s="26" t="n">
        <v>26</v>
      </c>
      <c r="C110" s="54">
        <f>IF(SUM($V110:$AA110), ROUND(V110/SUM($V110:$AA110), 2),0)</f>
        <v/>
      </c>
      <c r="D110" s="54">
        <f>IF(SUM($V110:$AA110), ROUND(W110/SUM($V110:$AA110), 2),0)</f>
        <v/>
      </c>
      <c r="E110" s="54">
        <f>IF(SUM($V110:$AA110), ROUND(X110/SUM($V110:$AA110), 2),0)</f>
        <v/>
      </c>
      <c r="F110" s="54">
        <f>IF(SUM($V110:$AA110), ROUND(Y110/SUM($V110:$AA110), 2),0)</f>
        <v/>
      </c>
      <c r="G110" s="54">
        <f>IF(SUM($V110:$AA110), ROUND(Z110/SUM($V110:$AA110), 2),0)</f>
        <v/>
      </c>
      <c r="H110" s="54">
        <f>IF(SUM($V110:$AA110), ROUND(AA110/SUM($V110:$AA110), 2),0)</f>
        <v/>
      </c>
      <c r="I110" s="24">
        <f>SUM(C110:H110)</f>
        <v/>
      </c>
      <c r="J110" s="24">
        <f>IF(I110&gt;0,0,B110)</f>
        <v/>
      </c>
      <c r="K110" s="24">
        <f>IF(I110&gt;0,B110,0)</f>
        <v/>
      </c>
      <c r="L110" s="25">
        <f>IF(B110&gt;0,(ABS(B110-$J$115)),0)</f>
        <v/>
      </c>
      <c r="M110" s="25">
        <f>IF(I110&gt;0,0,L110)</f>
        <v/>
      </c>
      <c r="O110" s="25">
        <f>C110*$L110</f>
        <v/>
      </c>
      <c r="P110" s="25">
        <f>D110*$L110</f>
        <v/>
      </c>
      <c r="Q110" s="25">
        <f>E110*$L110</f>
        <v/>
      </c>
      <c r="R110" s="25">
        <f>F110*$L110</f>
        <v/>
      </c>
      <c r="S110" s="25">
        <f>G110*$L110</f>
        <v/>
      </c>
      <c r="T110" s="25">
        <f>H110*$L110</f>
        <v/>
      </c>
      <c r="V110" s="25" t="n"/>
      <c r="W110" s="25" t="n"/>
      <c r="X110" s="25" t="n"/>
      <c r="Y110" s="25" t="n"/>
      <c r="Z110" s="25" t="n"/>
      <c r="AA110" s="25" t="n"/>
    </row>
    <row r="111" ht="33" customHeight="1">
      <c r="A111" s="22" t="n">
        <v>99</v>
      </c>
      <c r="B111" s="26" t="n">
        <v>26</v>
      </c>
      <c r="C111" s="54">
        <f>IF(SUM($V111:$AA111), ROUND(V111/SUM($V111:$AA111), 2),0)</f>
        <v/>
      </c>
      <c r="D111" s="54">
        <f>IF(SUM($V111:$AA111), ROUND(W111/SUM($V111:$AA111), 2),0)</f>
        <v/>
      </c>
      <c r="E111" s="54">
        <f>IF(SUM($V111:$AA111), ROUND(X111/SUM($V111:$AA111), 2),0)</f>
        <v/>
      </c>
      <c r="F111" s="54">
        <f>IF(SUM($V111:$AA111), ROUND(Y111/SUM($V111:$AA111), 2),0)</f>
        <v/>
      </c>
      <c r="G111" s="54">
        <f>IF(SUM($V111:$AA111), ROUND(Z111/SUM($V111:$AA111), 2),0)</f>
        <v/>
      </c>
      <c r="H111" s="54">
        <f>IF(SUM($V111:$AA111), ROUND(AA111/SUM($V111:$AA111), 2),0)</f>
        <v/>
      </c>
      <c r="I111" s="24">
        <f>SUM(C111:H111)</f>
        <v/>
      </c>
      <c r="J111" s="24">
        <f>IF(I111&gt;0,0,B111)</f>
        <v/>
      </c>
      <c r="K111" s="24">
        <f>IF(I111&gt;0,B111,0)</f>
        <v/>
      </c>
      <c r="L111" s="25">
        <f>IF(B111&gt;0,(ABS(B111-$J$115)),0)</f>
        <v/>
      </c>
      <c r="M111" s="25">
        <f>IF(I111&gt;0,0,L111)</f>
        <v/>
      </c>
      <c r="O111" s="25">
        <f>C111*$L111</f>
        <v/>
      </c>
      <c r="P111" s="25">
        <f>D111*$L111</f>
        <v/>
      </c>
      <c r="Q111" s="25">
        <f>E111*$L111</f>
        <v/>
      </c>
      <c r="R111" s="25">
        <f>F111*$L111</f>
        <v/>
      </c>
      <c r="S111" s="25">
        <f>G111*$L111</f>
        <v/>
      </c>
      <c r="T111" s="25">
        <f>H111*$L111</f>
        <v/>
      </c>
      <c r="V111" s="25" t="n"/>
      <c r="W111" s="25" t="n"/>
      <c r="X111" s="25" t="n"/>
      <c r="Y111" s="25" t="n"/>
      <c r="Z111" s="25" t="n"/>
      <c r="AA111" s="25" t="n"/>
    </row>
    <row r="112" ht="33" customHeight="1" thickBot="1">
      <c r="A112" s="27" t="n">
        <v>100</v>
      </c>
      <c r="B112" s="28" t="n">
        <v>30</v>
      </c>
      <c r="C112" s="55">
        <f>IF(SUM($V112:$AA112), ROUND(V112/SUM($V112:$AA112), 2),0)</f>
        <v/>
      </c>
      <c r="D112" s="55">
        <f>IF(SUM($V112:$AA112), ROUND(W112/SUM($V112:$AA112), 2),0)</f>
        <v/>
      </c>
      <c r="E112" s="55">
        <f>IF(SUM($V112:$AA112), ROUND(X112/SUM($V112:$AA112), 2),0)</f>
        <v/>
      </c>
      <c r="F112" s="55">
        <f>IF(SUM($V112:$AA112), ROUND(Y112/SUM($V112:$AA112), 2),0)</f>
        <v/>
      </c>
      <c r="G112" s="55">
        <f>IF(SUM($V112:$AA112), ROUND(Z112/SUM($V112:$AA112), 2),0)</f>
        <v/>
      </c>
      <c r="H112" s="55">
        <f>IF(SUM($V112:$AA112), ROUND(AA112/SUM($V112:$AA112), 2),0)</f>
        <v/>
      </c>
      <c r="I112" s="29">
        <f>SUM(C112:H112)</f>
        <v/>
      </c>
      <c r="J112" s="29">
        <f>IF(I112&gt;0,0,B112)</f>
        <v/>
      </c>
      <c r="K112" s="29">
        <f>IF(I112&gt;0,B112,0)</f>
        <v/>
      </c>
      <c r="L112" s="30">
        <f>IF(B112&gt;0,(ABS(B112-$J$115)),0)</f>
        <v/>
      </c>
      <c r="M112" s="30">
        <f>IF(I112&gt;0,0,L112)</f>
        <v/>
      </c>
      <c r="N112" s="31" t="n"/>
      <c r="O112" s="30">
        <f>C112*$L112</f>
        <v/>
      </c>
      <c r="P112" s="30">
        <f>D112*$L112</f>
        <v/>
      </c>
      <c r="Q112" s="30">
        <f>E112*$L112</f>
        <v/>
      </c>
      <c r="R112" s="30">
        <f>F112*$L112</f>
        <v/>
      </c>
      <c r="S112" s="30">
        <f>G112*$L112</f>
        <v/>
      </c>
      <c r="T112" s="30">
        <f>H112*$L112</f>
        <v/>
      </c>
      <c r="V112" s="30" t="n"/>
      <c r="W112" s="30" t="n"/>
      <c r="X112" s="30" t="n"/>
      <c r="Y112" s="30" t="n"/>
      <c r="Z112" s="30" t="n"/>
      <c r="AA112" s="30" t="n"/>
    </row>
    <row r="113" ht="33" customHeight="1" thickTop="1">
      <c r="A113" s="22" t="inlineStr">
        <is>
          <t>Count</t>
        </is>
      </c>
      <c r="B113" s="22">
        <f>COUNT(B13:B112)</f>
        <v/>
      </c>
      <c r="C113" s="22">
        <f>COUNTIF(C13:C112, "&lt;&gt;0")</f>
        <v/>
      </c>
      <c r="D113" s="22">
        <f>COUNTIF(D13:D112, "&lt;&gt;0")</f>
        <v/>
      </c>
      <c r="E113" s="22">
        <f>COUNTIF(E13:E112, "&lt;&gt;0")</f>
        <v/>
      </c>
      <c r="F113" s="22">
        <f>COUNTIF(F13:F112, "&lt;&gt;0")</f>
        <v/>
      </c>
      <c r="G113" s="22">
        <f>COUNTIF(G13:G112, "&lt;&gt;0")</f>
        <v/>
      </c>
      <c r="H113" s="22">
        <f>COUNTIF(H13:H112, "&lt;&gt;0")</f>
        <v/>
      </c>
      <c r="I113" s="22" t="inlineStr">
        <is>
          <t>Count</t>
        </is>
      </c>
      <c r="J113" s="22">
        <f>B113-SUM(C113:H113)</f>
        <v/>
      </c>
      <c r="K113" s="22">
        <f>B113-J113</f>
        <v/>
      </c>
      <c r="L113" s="22">
        <f>B113</f>
        <v/>
      </c>
      <c r="M113" s="22">
        <f>J113</f>
        <v/>
      </c>
      <c r="N113" s="22" t="inlineStr">
        <is>
          <t>No. of Occurrences</t>
        </is>
      </c>
      <c r="O113" s="22">
        <f>C113</f>
        <v/>
      </c>
      <c r="P113" s="22">
        <f>D113</f>
        <v/>
      </c>
      <c r="Q113" s="22">
        <f>E113</f>
        <v/>
      </c>
      <c r="R113" s="22">
        <f>F113</f>
        <v/>
      </c>
      <c r="S113" s="22">
        <f>G113</f>
        <v/>
      </c>
      <c r="T113" s="22">
        <f>H113</f>
        <v/>
      </c>
    </row>
    <row r="114" ht="33" customHeight="1">
      <c r="A114" s="32" t="inlineStr">
        <is>
          <t>Total</t>
        </is>
      </c>
      <c r="B114" s="32">
        <f>SUM(B13:B112)</f>
        <v/>
      </c>
      <c r="I114" s="32" t="inlineStr">
        <is>
          <t>Total</t>
        </is>
      </c>
      <c r="J114" s="32">
        <f>SUM(J13:J112)</f>
        <v/>
      </c>
      <c r="K114" s="32">
        <f>SUM(K13:K112)</f>
        <v/>
      </c>
      <c r="L114" s="33">
        <f>SUM(L13:L112)</f>
        <v/>
      </c>
      <c r="M114" s="33">
        <f>SUM(M13:M112)</f>
        <v/>
      </c>
      <c r="N114" s="32" t="inlineStr">
        <is>
          <t xml:space="preserve">Total Added Time </t>
        </is>
      </c>
      <c r="O114" s="33">
        <f>SUM(O13:O112)</f>
        <v/>
      </c>
      <c r="P114" s="33">
        <f>SUM(P13:P112)</f>
        <v/>
      </c>
      <c r="Q114" s="33">
        <f>SUM(Q13:Q112)</f>
        <v/>
      </c>
      <c r="R114" s="33">
        <f>SUM(R13:R112)</f>
        <v/>
      </c>
      <c r="S114" s="33">
        <f>SUM(S13:S112)</f>
        <v/>
      </c>
      <c r="T114" s="33">
        <f>SUM(T13:T112)</f>
        <v/>
      </c>
    </row>
    <row r="115" ht="39" customHeight="1">
      <c r="A115" s="34" t="inlineStr">
        <is>
          <t>Average</t>
        </is>
      </c>
      <c r="B115" s="33">
        <f>B114/B113</f>
        <v/>
      </c>
      <c r="I115" s="34" t="inlineStr">
        <is>
          <t>Average</t>
        </is>
      </c>
      <c r="J115" s="33">
        <f>AVERAGEIF(J13:J112,"&lt;&gt;0")</f>
        <v/>
      </c>
      <c r="K115" s="33">
        <f>AVERAGEIF(K13:K112,"&lt;&gt;0")</f>
        <v/>
      </c>
      <c r="L115" s="33">
        <f>AVERAGEIF(L13:L112,"&lt;&gt;0")</f>
        <v/>
      </c>
      <c r="M115" s="33">
        <f>AVERAGEIF(M13:M112,"&lt;&gt;0")</f>
        <v/>
      </c>
      <c r="N115" s="32" t="inlineStr">
        <is>
          <t>Probability of Occurrence</t>
        </is>
      </c>
      <c r="O115" s="33">
        <f>O113/$B$113</f>
        <v/>
      </c>
      <c r="P115" s="33">
        <f>P113/$B$113</f>
        <v/>
      </c>
      <c r="Q115" s="33">
        <f>Q113/$B$113</f>
        <v/>
      </c>
      <c r="R115" s="33">
        <f>R113/$B$113</f>
        <v/>
      </c>
      <c r="S115" s="33">
        <f>S113/$B$113</f>
        <v/>
      </c>
      <c r="T115" s="33">
        <f>T113/$B$113</f>
        <v/>
      </c>
    </row>
    <row r="116" ht="35.1" customHeight="1">
      <c r="N116" s="32" t="inlineStr">
        <is>
          <t>Relative Severity</t>
        </is>
      </c>
      <c r="O116" s="33">
        <f>IF(O113&gt;0,(O114/(O113*$B$115)),0)</f>
        <v/>
      </c>
      <c r="P116" s="33">
        <f>IF(P113&gt;0,(P114/(P113*$B$115)),0)</f>
        <v/>
      </c>
      <c r="Q116" s="33">
        <f>IF(Q113&gt;0,(Q114/(Q113*$B$115)),0)</f>
        <v/>
      </c>
      <c r="R116" s="33">
        <f>IF(R113&gt;0,(R114/(R113*$B$115)),0)</f>
        <v/>
      </c>
      <c r="S116" s="33">
        <f>IF(S113&gt;0,(S114/(S113*$B$115)),0)</f>
        <v/>
      </c>
      <c r="T116" s="33">
        <f>IF(T113&gt;0,(T114/(T113*$B$115)),0)</f>
        <v/>
      </c>
    </row>
    <row r="117" ht="35.1" customHeight="1">
      <c r="A117" s="32" t="n"/>
      <c r="B117" s="35" t="inlineStr">
        <is>
          <t>Production total time</t>
        </is>
      </c>
      <c r="C117" s="35" t="inlineStr">
        <is>
          <t>Number of Cycles</t>
        </is>
      </c>
      <c r="D117" s="35" t="inlineStr">
        <is>
          <t>Mean Cycle Time</t>
        </is>
      </c>
      <c r="E117" s="35" t="inlineStr">
        <is>
          <t>Sum(CT NDC)/n</t>
        </is>
      </c>
      <c r="N117" s="32" t="inlineStr">
        <is>
          <t>Expected Percentge of Delay Time</t>
        </is>
      </c>
      <c r="O117" s="33">
        <f>O115*O116</f>
        <v/>
      </c>
      <c r="P117" s="33">
        <f>P115*P116</f>
        <v/>
      </c>
      <c r="Q117" s="33">
        <f>Q115*Q116</f>
        <v/>
      </c>
      <c r="R117" s="33">
        <f>R115*R116</f>
        <v/>
      </c>
      <c r="S117" s="33">
        <f>S115*S116</f>
        <v/>
      </c>
      <c r="T117" s="33">
        <f>T115*T116</f>
        <v/>
      </c>
      <c r="U117" s="36" t="n"/>
    </row>
    <row r="118" ht="35.1" customHeight="1">
      <c r="A118" s="32" t="inlineStr">
        <is>
          <t>Non-delayed production cycles</t>
        </is>
      </c>
      <c r="B118" s="32">
        <f>J114</f>
        <v/>
      </c>
      <c r="C118" s="32">
        <f>J113</f>
        <v/>
      </c>
      <c r="D118" s="33">
        <f>J115</f>
        <v/>
      </c>
      <c r="E118" s="33">
        <f>M114/C118</f>
        <v/>
      </c>
      <c r="G118" s="32" t="inlineStr">
        <is>
          <t>Ideal Productivity (units/hr)</t>
        </is>
      </c>
      <c r="H118" s="37">
        <f>1/J115*60*60</f>
        <v/>
      </c>
      <c r="J118" s="32" t="inlineStr">
        <is>
          <t xml:space="preserve">Overall Method Productivity </t>
        </is>
      </c>
      <c r="K118" s="37">
        <f>H118*(1-SUM(O117:T117))</f>
        <v/>
      </c>
      <c r="U118" s="36" t="n"/>
    </row>
    <row r="119" ht="33.95" customHeight="1">
      <c r="A119" s="34" t="inlineStr">
        <is>
          <t>Overall production cycles</t>
        </is>
      </c>
      <c r="B119" s="32">
        <f>B114</f>
        <v/>
      </c>
      <c r="C119" s="32">
        <f>B113</f>
        <v/>
      </c>
      <c r="D119" s="33">
        <f>B115</f>
        <v/>
      </c>
      <c r="E119" s="33">
        <f>L114/C119</f>
        <v/>
      </c>
      <c r="G119" s="32" t="inlineStr">
        <is>
          <t xml:space="preserve">Ideal Cycle Variability </t>
        </is>
      </c>
      <c r="H119" s="38">
        <f>M115/J115</f>
        <v/>
      </c>
      <c r="J119" s="34" t="inlineStr">
        <is>
          <t xml:space="preserve">Overall Cycle Variability </t>
        </is>
      </c>
      <c r="K119" s="38">
        <f>L115/B115</f>
        <v/>
      </c>
    </row>
    <row r="121" ht="35.1" customHeight="1"/>
    <row r="122" ht="35.1" customHeight="1"/>
    <row r="123" ht="35.1" customHeight="1"/>
    <row r="124" ht="33.95" customHeight="1"/>
  </sheetData>
  <mergeCells count="12">
    <mergeCell ref="C11:H11"/>
    <mergeCell ref="B6:C6"/>
    <mergeCell ref="V11:AA11"/>
    <mergeCell ref="A1:M1"/>
    <mergeCell ref="A4:M4"/>
    <mergeCell ref="B11:B12"/>
    <mergeCell ref="A3:M3"/>
    <mergeCell ref="B9:C9"/>
    <mergeCell ref="B8:C8"/>
    <mergeCell ref="A2:M2"/>
    <mergeCell ref="O11:T11"/>
    <mergeCell ref="A11:A12"/>
  </mergeCells>
  <pageMargins left="0.2362204724409449" right="0.2362204724409449" top="0.7480314960629921" bottom="0.7480314960629921" header="0.3149606299212598" footer="0.3149606299212598"/>
  <pageSetup orientation="portrait" scale="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CNS Labs</dc:creator>
  <dcterms:created xmlns:dcterms="http://purl.org/dc/terms/" xmlns:xsi="http://www.w3.org/2001/XMLSchema-instance" xsi:type="dcterms:W3CDTF">2001-01-27T00:38:41Z</dcterms:created>
  <dcterms:modified xmlns:dcterms="http://purl.org/dc/terms/" xmlns:xsi="http://www.w3.org/2001/XMLSchema-instance" xsi:type="dcterms:W3CDTF">2026-06-16T21:28:15Z</dcterms:modified>
  <cp:lastModifiedBy>Mengistu Getie</cp:lastModifiedBy>
  <cp:lastPrinted>2013-05-12T00:05:33Z</cp:lastPrinted>
</cp:coreProperties>
</file>