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MI-forms\Data Encoding Forms\"/>
    </mc:Choice>
  </mc:AlternateContent>
  <xr:revisionPtr revIDLastSave="0" documentId="13_ncr:1_{4E8DF7D2-B5AB-41EB-B494-31EF912F23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ller" sheetId="5" r:id="rId1"/>
    <sheet name="mpdm" sheetId="2" r:id="rId2"/>
    <sheet name="daily-variables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3" i="5" l="1"/>
  <c r="L104" i="5"/>
  <c r="L105" i="5"/>
  <c r="L106" i="5"/>
  <c r="L107" i="5"/>
  <c r="L108" i="5"/>
  <c r="L109" i="5"/>
  <c r="L110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4" i="5"/>
  <c r="L13" i="5"/>
  <c r="L12" i="5"/>
  <c r="L11" i="5"/>
  <c r="K117" i="2"/>
  <c r="B113" i="2"/>
  <c r="K118" i="2"/>
  <c r="K119" i="2"/>
  <c r="K120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J113" i="2"/>
  <c r="J118" i="2"/>
  <c r="J114" i="2"/>
  <c r="J117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114" i="2"/>
  <c r="J119" i="2"/>
  <c r="J120" i="2"/>
  <c r="I113" i="2"/>
  <c r="I118" i="2"/>
  <c r="I114" i="2"/>
  <c r="I117" i="2"/>
  <c r="I119" i="2"/>
  <c r="I120" i="2"/>
  <c r="H113" i="2"/>
  <c r="H118" i="2"/>
  <c r="H114" i="2"/>
  <c r="H117" i="2"/>
  <c r="H119" i="2"/>
  <c r="H120" i="2"/>
  <c r="G113" i="2"/>
  <c r="G118" i="2"/>
  <c r="G114" i="2"/>
  <c r="G117" i="2"/>
  <c r="G119" i="2"/>
  <c r="G120" i="2"/>
  <c r="F113" i="2"/>
  <c r="F118" i="2"/>
  <c r="F114" i="2"/>
  <c r="F117" i="2"/>
  <c r="F119" i="2"/>
  <c r="F120" i="2"/>
  <c r="E114" i="2"/>
  <c r="E113" i="2"/>
  <c r="E115" i="2"/>
  <c r="D113" i="2"/>
  <c r="D115" i="2"/>
  <c r="C114" i="2"/>
  <c r="C113" i="2"/>
  <c r="C115" i="2"/>
  <c r="B114" i="2"/>
  <c r="B115" i="2"/>
  <c r="K114" i="2"/>
  <c r="K113" i="2"/>
</calcChain>
</file>

<file path=xl/sharedStrings.xml><?xml version="1.0" encoding="utf-8"?>
<sst xmlns="http://schemas.openxmlformats.org/spreadsheetml/2006/main" count="161" uniqueCount="139">
  <si>
    <t xml:space="preserve">Construction Management Institute </t>
  </si>
  <si>
    <t xml:space="preserve"> PREPARATION OF NATIONAL PRODUCTIVITY NORM FOR WATER CONSTRUCTION TRADE</t>
  </si>
  <si>
    <t>Form - 1</t>
  </si>
  <si>
    <t xml:space="preserve">Project Code: </t>
  </si>
  <si>
    <t>Number of Equipment Types:</t>
  </si>
  <si>
    <t>Date:</t>
  </si>
  <si>
    <t>Equipment Tag</t>
  </si>
  <si>
    <t>List Manpower (Foreman, Operator, Helper, Laborers, etc.)</t>
  </si>
  <si>
    <t xml:space="preserve">Task Type </t>
  </si>
  <si>
    <t xml:space="preserve">MPDM Data Collection Form </t>
  </si>
  <si>
    <t>Form -3</t>
  </si>
  <si>
    <t>Project Code:</t>
  </si>
  <si>
    <t>Operation:</t>
  </si>
  <si>
    <t>Unit of Time:</t>
  </si>
  <si>
    <t>Production Cycle Number</t>
  </si>
  <si>
    <t>Cycle Time</t>
  </si>
  <si>
    <t xml:space="preserve">Non Delay Cycle </t>
  </si>
  <si>
    <t xml:space="preserve">AVG Deviation </t>
  </si>
  <si>
    <t>Non Delay Cy AVG Dev</t>
  </si>
  <si>
    <t xml:space="preserve">Delay </t>
  </si>
  <si>
    <t>Enviroment</t>
  </si>
  <si>
    <t>Equipment</t>
  </si>
  <si>
    <t>Labour</t>
  </si>
  <si>
    <t xml:space="preserve">Material </t>
  </si>
  <si>
    <t>Management</t>
  </si>
  <si>
    <t>Others</t>
  </si>
  <si>
    <t>Count</t>
  </si>
  <si>
    <t>Total</t>
  </si>
  <si>
    <t>Average</t>
  </si>
  <si>
    <t>Total Added Time</t>
  </si>
  <si>
    <t xml:space="preserve">Probability of Occurance </t>
  </si>
  <si>
    <t>Relative  Severity</t>
  </si>
  <si>
    <t>Expected Perecentage of Delay Time</t>
  </si>
  <si>
    <t>CONSTRUCTION MANAGEMENT INSTITUTE (CMI) WITH BAHIR DAR INSTITUTE OF TECHNOLOGY (BiT)</t>
  </si>
  <si>
    <t xml:space="preserve"> PREPARATION OF NATIONAL PRODUCTIVITY NORM FOR WATER CONSTRUCTION TRADES</t>
  </si>
  <si>
    <t xml:space="preserve">Form - 6: Daily Input Variables </t>
  </si>
  <si>
    <t>Data Count:</t>
  </si>
  <si>
    <t>Form - 6</t>
  </si>
  <si>
    <t xml:space="preserve">Main Factor </t>
  </si>
  <si>
    <t>Factor ID</t>
  </si>
  <si>
    <t xml:space="preserve">Sub - Factors </t>
  </si>
  <si>
    <t>Scale of Measure</t>
  </si>
  <si>
    <t xml:space="preserve">Data Source </t>
  </si>
  <si>
    <t>Data Value</t>
  </si>
  <si>
    <t>Sub-factor / Range of Value</t>
  </si>
  <si>
    <t xml:space="preserve">Predetermined Ratings (1 - 5) / Description </t>
  </si>
  <si>
    <t>1. Labour Characterstics</t>
  </si>
  <si>
    <t>Crew Properties</t>
  </si>
  <si>
    <t xml:space="preserve">Crew size </t>
  </si>
  <si>
    <t>Integer (Total number of crew members)</t>
  </si>
  <si>
    <t>Range (1 - 20)</t>
  </si>
  <si>
    <t xml:space="preserve">Vaules for each of the crews understudy </t>
  </si>
  <si>
    <t xml:space="preserve">Crew composition </t>
  </si>
  <si>
    <t>Crew Member's Number (Foreman, Tradesperson, Laborer, Helper)</t>
  </si>
  <si>
    <t>Range (0 - 1)</t>
  </si>
  <si>
    <t xml:space="preserve">Co-operation among craftsperson </t>
  </si>
  <si>
    <t>1 - 5 Predetermined rating</t>
  </si>
  <si>
    <t>Crew size, Crew heterogeneity in nationality, ability to perform the task, and stake value related to the task</t>
  </si>
  <si>
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</si>
  <si>
    <t>Level of interruption and disruption</t>
  </si>
  <si>
    <t>Integer (Number of  interruption and disruption per day)</t>
  </si>
  <si>
    <t>Range (0 - 20)</t>
  </si>
  <si>
    <t xml:space="preserve">To document the number of delay events caused due to several reasons which may disrupt the crew from performing the assigned tasks. </t>
  </si>
  <si>
    <t>Fairness of work assignment</t>
  </si>
  <si>
    <t>Consistency (same policy), Reasonableness (use of common sense), Resource (resource allocations), Information (provision of information), Timeliness (timely action), Meaningful assignment</t>
  </si>
  <si>
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</si>
  <si>
    <t>Crew flexibility</t>
  </si>
  <si>
    <t>Ability of crew to perform other's task</t>
  </si>
  <si>
    <t>Percent (degree of ability to perform other's task)</t>
  </si>
  <si>
    <t xml:space="preserve">1. Below 20%; 2. Between 20 - 40%; 3. Between 40 - 60%; 4. Between 60 - 80%; 5. Above 80% </t>
  </si>
  <si>
    <t>Willingness to perform other's tasks</t>
  </si>
  <si>
    <t>Categorical</t>
  </si>
  <si>
    <t>1. Completely Unwilling; 2. Somewhat NOT Willing; 3. Somewhat Willing; 4. Willing; 5. Completely Willing</t>
  </si>
  <si>
    <t>Crew Characterstics</t>
  </si>
  <si>
    <t>Craftsperson education</t>
  </si>
  <si>
    <t>Categorical (Most frequent category)</t>
  </si>
  <si>
    <t xml:space="preserve">Elementary, High School, Technical, College, University </t>
  </si>
  <si>
    <t>1- Elementary, 2-Highschool, 3-Technical, 4- College, 5-University</t>
  </si>
  <si>
    <t>Craftsperson on job training</t>
  </si>
  <si>
    <t>Real number (No. trainings attended x Duration of Training, hrs)</t>
  </si>
  <si>
    <t>Range (0 - 150)</t>
  </si>
  <si>
    <t>Craftsperson technical  training</t>
  </si>
  <si>
    <t>Range (0 - 1000)</t>
  </si>
  <si>
    <t xml:space="preserve"> </t>
  </si>
  <si>
    <t>Crew experience (seniority)</t>
  </si>
  <si>
    <t>Real number (Crew average years of experience )</t>
  </si>
  <si>
    <t>Range (0 - 40)</t>
  </si>
  <si>
    <t xml:space="preserve">Number of languages spoken </t>
  </si>
  <si>
    <t>Integer (Number of languages spoken, total for a crew)</t>
  </si>
  <si>
    <t>Range (1 - 5)</t>
  </si>
  <si>
    <t>Job security</t>
  </si>
  <si>
    <t>Integer (Average length of unemployment period, months)</t>
  </si>
  <si>
    <t xml:space="preserve">Range (0 -12) </t>
  </si>
  <si>
    <t xml:space="preserve">Average per crew member. </t>
  </si>
  <si>
    <t xml:space="preserve">2. Equipment and Tools </t>
  </si>
  <si>
    <t>Availability of work equipment</t>
  </si>
  <si>
    <t>Equipment number</t>
  </si>
  <si>
    <t>Categorical (Type and Number on site)</t>
  </si>
  <si>
    <t>Range (0 - 10)</t>
  </si>
  <si>
    <t>Work of equipment (crane, forklift)</t>
  </si>
  <si>
    <t xml:space="preserve">Waiting time for work equipment </t>
  </si>
  <si>
    <t>Real number (Average waiting time,min)</t>
  </si>
  <si>
    <t>Range (0 - 60)</t>
  </si>
  <si>
    <t xml:space="preserve">Availability of transport equipment </t>
  </si>
  <si>
    <t>Transport equipment (man lift)</t>
  </si>
  <si>
    <t xml:space="preserve">Waiting time for transport equipment </t>
  </si>
  <si>
    <t>Misplacement of tools</t>
  </si>
  <si>
    <t>Real Number (Average no. of misplacement per day)</t>
  </si>
  <si>
    <t>Availability of electric power</t>
  </si>
  <si>
    <t>Range (0 - 30)</t>
  </si>
  <si>
    <t>Availability of extension cords</t>
  </si>
  <si>
    <t xml:space="preserve">3. Project 
Condition </t>
  </si>
  <si>
    <t>Weather (temperature)</t>
  </si>
  <si>
    <r>
      <t>Real number (</t>
    </r>
    <r>
      <rPr>
        <sz val="10"/>
        <color indexed="8"/>
        <rFont val="Times New Roman"/>
        <family val="1"/>
      </rPr>
      <t>˚C)</t>
    </r>
  </si>
  <si>
    <t>Range: recorded (min, max)</t>
  </si>
  <si>
    <t xml:space="preserve">weather.gc.ca. </t>
  </si>
  <si>
    <t xml:space="preserve">Weather (precipitation) </t>
  </si>
  <si>
    <r>
      <t>Real number (</t>
    </r>
    <r>
      <rPr>
        <sz val="10"/>
        <color indexed="8"/>
        <rFont val="Times New Roman"/>
        <family val="1"/>
      </rPr>
      <t>mm)</t>
    </r>
  </si>
  <si>
    <t xml:space="preserve">Weather (humidity) </t>
  </si>
  <si>
    <r>
      <t>Real number (</t>
    </r>
    <r>
      <rPr>
        <sz val="10"/>
        <color indexed="8"/>
        <rFont val="Times New Roman"/>
        <family val="1"/>
      </rPr>
      <t>%)</t>
    </r>
  </si>
  <si>
    <t>Weather (wind speed)</t>
  </si>
  <si>
    <t>Real number (km/hr)</t>
  </si>
  <si>
    <t>Site congestion</t>
  </si>
  <si>
    <t>Real number (Ratio free site space to total site area)</t>
  </si>
  <si>
    <t>Range (0 -100)</t>
  </si>
  <si>
    <t>Use of overtime</t>
  </si>
  <si>
    <t>Real number (Average over time per week)</t>
  </si>
  <si>
    <t>Range (0 -38)</t>
  </si>
  <si>
    <t xml:space="preserve">Over all project activities (besides the one under study). </t>
  </si>
  <si>
    <t xml:space="preserve">Roller Productivity Data Collection Form </t>
  </si>
  <si>
    <t>Soil Type and characterstics</t>
  </si>
  <si>
    <t>Fileld Measurement</t>
  </si>
  <si>
    <t xml:space="preserve">Unit </t>
  </si>
  <si>
    <t>Productivity (m2/hr)</t>
  </si>
  <si>
    <t>Compacted width per roller pass (2 *  width of the drum, m)</t>
  </si>
  <si>
    <t>Average roller speed (km/hr)</t>
  </si>
  <si>
    <t>Thickness of compacted layer (mm)</t>
  </si>
  <si>
    <t>Compaction factor (Compacted volume / loose volume)</t>
  </si>
  <si>
    <t>Number of roller pass to achive the required desnsity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</si>
</sst>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11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10"/>
      <color indexed="8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2" fillId="4" borderId="3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3" borderId="3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4" borderId="8" xfId="2" applyFont="1" applyFill="1" applyBorder="1" applyAlignment="1">
      <alignment horizontal="center" vertical="center" wrapText="1"/>
    </xf>
    <xf numFmtId="0" fontId="3" fillId="6" borderId="4" xfId="2" applyFont="1" applyFill="1" applyBorder="1" applyAlignment="1">
      <alignment horizontal="center" vertical="center"/>
    </xf>
    <xf numFmtId="0" fontId="3" fillId="7" borderId="4" xfId="2" applyFont="1" applyFill="1" applyBorder="1" applyAlignment="1">
      <alignment horizontal="center" vertical="center"/>
    </xf>
    <xf numFmtId="0" fontId="3" fillId="6" borderId="12" xfId="2" applyFont="1" applyFill="1" applyBorder="1" applyAlignment="1">
      <alignment horizontal="center" vertical="center"/>
    </xf>
    <xf numFmtId="0" fontId="3" fillId="6" borderId="5" xfId="2" applyFont="1" applyFill="1" applyBorder="1" applyAlignment="1">
      <alignment horizontal="center" vertical="center"/>
    </xf>
    <xf numFmtId="0" fontId="3" fillId="7" borderId="5" xfId="2" applyFont="1" applyFill="1" applyBorder="1" applyAlignment="1">
      <alignment horizontal="center" vertical="center"/>
    </xf>
    <xf numFmtId="0" fontId="3" fillId="6" borderId="14" xfId="2" applyFont="1" applyFill="1" applyBorder="1" applyAlignment="1">
      <alignment horizontal="center" vertical="center"/>
    </xf>
    <xf numFmtId="0" fontId="3" fillId="6" borderId="15" xfId="2" applyFont="1" applyFill="1" applyBorder="1" applyAlignment="1">
      <alignment horizontal="center" vertical="center"/>
    </xf>
    <xf numFmtId="0" fontId="3" fillId="6" borderId="16" xfId="2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6" borderId="19" xfId="2" applyFont="1" applyFill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/>
    </xf>
    <xf numFmtId="0" fontId="3" fillId="6" borderId="21" xfId="2" applyFont="1" applyFill="1" applyBorder="1" applyAlignment="1">
      <alignment horizontal="center" vertical="center"/>
    </xf>
    <xf numFmtId="0" fontId="3" fillId="6" borderId="20" xfId="2" applyFont="1" applyFill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16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2" fontId="3" fillId="0" borderId="12" xfId="2" applyNumberFormat="1" applyFont="1" applyBorder="1" applyAlignment="1">
      <alignment horizontal="center" vertical="center"/>
    </xf>
    <xf numFmtId="2" fontId="3" fillId="0" borderId="19" xfId="2" applyNumberFormat="1" applyFont="1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10" fontId="3" fillId="0" borderId="26" xfId="2" applyNumberFormat="1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7" fillId="0" borderId="0" xfId="0" applyFont="1"/>
    <xf numFmtId="0" fontId="9" fillId="0" borderId="0" xfId="0" applyFont="1" applyAlignment="1">
      <alignment horizontal="center" vertical="center"/>
    </xf>
    <xf numFmtId="0" fontId="10" fillId="2" borderId="1" xfId="2" quotePrefix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12" xfId="0" applyFont="1" applyBorder="1"/>
    <xf numFmtId="0" fontId="8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10" fillId="3" borderId="3" xfId="2" applyFont="1" applyFill="1" applyBorder="1" applyAlignment="1">
      <alignment horizontal="center" vertical="center" wrapText="1"/>
    </xf>
    <xf numFmtId="0" fontId="10" fillId="8" borderId="3" xfId="2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right" vertical="center" wrapText="1"/>
    </xf>
    <xf numFmtId="0" fontId="11" fillId="6" borderId="27" xfId="0" applyFont="1" applyFill="1" applyBorder="1" applyAlignment="1">
      <alignment vertical="center" wrapText="1"/>
    </xf>
    <xf numFmtId="0" fontId="11" fillId="6" borderId="28" xfId="0" applyFont="1" applyFill="1" applyBorder="1" applyAlignment="1">
      <alignment vertical="center" wrapText="1"/>
    </xf>
    <xf numFmtId="0" fontId="11" fillId="6" borderId="29" xfId="0" applyFont="1" applyFill="1" applyBorder="1" applyAlignment="1">
      <alignment vertical="center" wrapText="1"/>
    </xf>
    <xf numFmtId="0" fontId="11" fillId="6" borderId="30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right" vertical="center" wrapText="1"/>
    </xf>
    <xf numFmtId="0" fontId="11" fillId="6" borderId="31" xfId="0" applyFont="1" applyFill="1" applyBorder="1" applyAlignment="1">
      <alignment vertical="center" wrapText="1"/>
    </xf>
    <xf numFmtId="0" fontId="11" fillId="6" borderId="31" xfId="0" applyFont="1" applyFill="1" applyBorder="1" applyAlignment="1">
      <alignment horizontal="left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1" fillId="8" borderId="3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11" fillId="6" borderId="32" xfId="0" applyFont="1" applyFill="1" applyBorder="1" applyAlignment="1">
      <alignment vertical="center" wrapText="1"/>
    </xf>
    <xf numFmtId="0" fontId="11" fillId="6" borderId="33" xfId="0" applyFont="1" applyFill="1" applyBorder="1" applyAlignment="1">
      <alignment vertical="center" wrapText="1"/>
    </xf>
    <xf numFmtId="0" fontId="11" fillId="6" borderId="34" xfId="0" applyFont="1" applyFill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31" xfId="0" applyFont="1" applyFill="1" applyBorder="1" applyAlignment="1">
      <alignment horizontal="left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1" fillId="0" borderId="0" xfId="0" applyFont="1"/>
    <xf numFmtId="2" fontId="11" fillId="6" borderId="31" xfId="0" applyNumberFormat="1" applyFont="1" applyFill="1" applyBorder="1" applyAlignment="1">
      <alignment horizontal="right" vertical="center" wrapText="1"/>
    </xf>
    <xf numFmtId="0" fontId="13" fillId="6" borderId="31" xfId="0" applyFont="1" applyFill="1" applyBorder="1" applyAlignment="1">
      <alignment horizontal="left" vertical="center" wrapText="1"/>
    </xf>
    <xf numFmtId="0" fontId="12" fillId="6" borderId="23" xfId="0" applyFont="1" applyFill="1" applyBorder="1" applyAlignment="1">
      <alignment vertical="center" wrapText="1"/>
    </xf>
    <xf numFmtId="0" fontId="12" fillId="6" borderId="13" xfId="0" applyFont="1" applyFill="1" applyBorder="1" applyAlignment="1">
      <alignment horizontal="left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1" fillId="6" borderId="27" xfId="0" applyFont="1" applyFill="1" applyBorder="1" applyAlignment="1">
      <alignment horizontal="left" vertical="center" wrapText="1"/>
    </xf>
    <xf numFmtId="0" fontId="11" fillId="6" borderId="36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right" vertical="center" wrapText="1"/>
    </xf>
    <xf numFmtId="0" fontId="11" fillId="6" borderId="37" xfId="0" applyFont="1" applyFill="1" applyBorder="1" applyAlignment="1">
      <alignment vertical="center" wrapText="1"/>
    </xf>
    <xf numFmtId="0" fontId="11" fillId="6" borderId="9" xfId="0" applyFont="1" applyFill="1" applyBorder="1" applyAlignment="1">
      <alignment horizontal="left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1" fillId="6" borderId="38" xfId="0" applyFont="1" applyFill="1" applyBorder="1" applyAlignment="1">
      <alignment vertical="center" wrapText="1"/>
    </xf>
    <xf numFmtId="0" fontId="11" fillId="6" borderId="39" xfId="0" applyFont="1" applyFill="1" applyBorder="1" applyAlignment="1">
      <alignment horizontal="left" vertical="center" wrapText="1"/>
    </xf>
    <xf numFmtId="0" fontId="11" fillId="6" borderId="39" xfId="0" applyFont="1" applyFill="1" applyBorder="1" applyAlignment="1">
      <alignment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11" fillId="8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vertical="center"/>
    </xf>
    <xf numFmtId="0" fontId="2" fillId="0" borderId="0" xfId="2" applyFont="1" applyAlignment="1">
      <alignment vertical="center"/>
    </xf>
    <xf numFmtId="0" fontId="3" fillId="6" borderId="4" xfId="2" applyFont="1" applyFill="1" applyBorder="1" applyAlignment="1">
      <alignment vertical="center"/>
    </xf>
    <xf numFmtId="0" fontId="3" fillId="6" borderId="5" xfId="2" applyFont="1" applyFill="1" applyBorder="1" applyAlignment="1">
      <alignment vertical="center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2" fillId="5" borderId="2" xfId="2" applyFont="1" applyFill="1" applyBorder="1" applyAlignment="1">
      <alignment horizontal="center" vertical="center" wrapText="1"/>
    </xf>
    <xf numFmtId="0" fontId="2" fillId="5" borderId="7" xfId="2" applyFont="1" applyFill="1" applyBorder="1" applyAlignment="1">
      <alignment horizontal="center" vertical="center" wrapText="1"/>
    </xf>
    <xf numFmtId="0" fontId="2" fillId="5" borderId="1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horizontal="center" vertical="center" wrapText="1"/>
    </xf>
    <xf numFmtId="0" fontId="2" fillId="5" borderId="9" xfId="2" applyFont="1" applyFill="1" applyBorder="1" applyAlignment="1">
      <alignment horizontal="center" vertical="center" wrapText="1"/>
    </xf>
    <xf numFmtId="0" fontId="2" fillId="5" borderId="13" xfId="2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9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 wrapText="1"/>
    </xf>
    <xf numFmtId="0" fontId="7" fillId="0" borderId="9" xfId="0" applyFont="1" applyBorder="1" applyAlignment="1">
      <alignment horizontal="center" vertical="center" textRotation="90" wrapText="1"/>
    </xf>
    <xf numFmtId="0" fontId="6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3" fillId="0" borderId="0" xfId="2" applyFont="1" applyAlignment="1">
      <alignment vertical="center"/>
    </xf>
    <xf numFmtId="0" fontId="2" fillId="9" borderId="2" xfId="2" applyFont="1" applyFill="1" applyBorder="1" applyAlignment="1">
      <alignment vertical="center"/>
    </xf>
    <xf numFmtId="0" fontId="2" fillId="6" borderId="3" xfId="2" applyFont="1" applyFill="1" applyBorder="1" applyAlignment="1">
      <alignment vertical="center"/>
    </xf>
    <xf numFmtId="0" fontId="2" fillId="9" borderId="2" xfId="2" applyFont="1" applyFill="1" applyBorder="1" applyAlignment="1">
      <alignment horizontal="center" vertical="center"/>
    </xf>
    <xf numFmtId="0" fontId="2" fillId="9" borderId="1" xfId="2" applyFont="1" applyFill="1" applyBorder="1" applyAlignment="1">
      <alignment horizontal="center" vertical="center"/>
    </xf>
    <xf numFmtId="0" fontId="2" fillId="9" borderId="3" xfId="2" applyFont="1" applyFill="1" applyBorder="1" applyAlignment="1">
      <alignment horizontal="center" vertical="center"/>
    </xf>
    <xf numFmtId="0" fontId="2" fillId="9" borderId="2" xfId="2" applyFont="1" applyFill="1" applyBorder="1" applyAlignment="1">
      <alignment horizontal="center" vertical="center" wrapText="1"/>
    </xf>
    <xf numFmtId="0" fontId="2" fillId="9" borderId="7" xfId="2" applyFont="1" applyFill="1" applyBorder="1" applyAlignment="1">
      <alignment horizontal="center" vertical="center" wrapText="1"/>
    </xf>
    <xf numFmtId="0" fontId="2" fillId="9" borderId="8" xfId="2" applyFont="1" applyFill="1" applyBorder="1" applyAlignment="1">
      <alignment vertical="center" wrapText="1"/>
    </xf>
  </cellXfs>
  <cellStyles count="4">
    <cellStyle name="Normal" xfId="0" builtinId="0"/>
    <cellStyle name="Normal 2" xfId="2" xr:uid="{74FE991F-8EA6-454A-950E-9B33B409B202}"/>
    <cellStyle name="Normal 2 2" xfId="3" xr:uid="{6C9C2346-74F2-4E5E-A870-220FCA163966}"/>
    <cellStyle name="Normal 3" xfId="1" xr:uid="{1E3DD4B2-258F-4F62-AADF-15E2FDFADB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8280-1923-4A0F-870E-B86C910E18C2}">
  <dimension ref="B1:L110"/>
  <sheetViews>
    <sheetView tabSelected="1" workbookViewId="0">
      <selection activeCell="F16" sqref="F16"/>
    </sheetView>
  </sheetViews>
  <sheetFormatPr defaultColWidth="9.140625" defaultRowHeight="15.75" x14ac:dyDescent="0.25"/>
  <cols>
    <col min="1" max="1" width="5.7109375" style="109" customWidth="1"/>
    <col min="2" max="2" width="11.140625" style="109" customWidth="1"/>
    <col min="3" max="3" width="25.140625" style="109" customWidth="1"/>
    <col min="4" max="4" width="15.7109375" style="109" customWidth="1"/>
    <col min="5" max="5" width="17.7109375" style="109" customWidth="1"/>
    <col min="6" max="6" width="19.42578125" style="109" customWidth="1"/>
    <col min="7" max="8" width="17.140625" style="109" customWidth="1"/>
    <col min="9" max="9" width="15.42578125" style="109" customWidth="1"/>
    <col min="10" max="10" width="17.42578125" style="109" customWidth="1"/>
    <col min="11" max="11" width="10.140625" style="109" customWidth="1"/>
    <col min="12" max="12" width="17.140625" style="109" customWidth="1"/>
    <col min="13" max="16384" width="9.140625" style="109"/>
  </cols>
  <sheetData>
    <row r="1" spans="2:12" ht="18.75" x14ac:dyDescent="0.25">
      <c r="B1" s="88" t="s">
        <v>0</v>
      </c>
      <c r="C1" s="88"/>
      <c r="D1" s="88"/>
      <c r="E1" s="88"/>
      <c r="F1" s="88"/>
      <c r="G1" s="88"/>
      <c r="H1" s="88"/>
      <c r="I1" s="88"/>
      <c r="J1" s="88"/>
      <c r="K1" s="88"/>
      <c r="L1" s="88"/>
    </row>
    <row r="2" spans="2:12" ht="18.75" x14ac:dyDescent="0.25">
      <c r="B2" s="88" t="s">
        <v>1</v>
      </c>
      <c r="C2" s="88"/>
      <c r="D2" s="88"/>
      <c r="E2" s="88"/>
      <c r="F2" s="88"/>
      <c r="G2" s="88"/>
      <c r="H2" s="88"/>
      <c r="I2" s="88"/>
      <c r="J2" s="88"/>
      <c r="K2" s="88"/>
      <c r="L2" s="88"/>
    </row>
    <row r="3" spans="2:12" x14ac:dyDescent="0.25">
      <c r="B3" s="89" t="s">
        <v>129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2" x14ac:dyDescent="0.25">
      <c r="B4" s="90" t="s">
        <v>2</v>
      </c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2:12" ht="16.5" thickBot="1" x14ac:dyDescent="0.3"/>
    <row r="6" spans="2:12" ht="16.5" thickBot="1" x14ac:dyDescent="0.3">
      <c r="B6" s="110" t="s">
        <v>3</v>
      </c>
      <c r="C6" s="111"/>
      <c r="E6" s="112" t="s">
        <v>4</v>
      </c>
      <c r="F6" s="113"/>
      <c r="G6" s="111"/>
      <c r="K6" s="114" t="s">
        <v>5</v>
      </c>
      <c r="L6" s="84"/>
    </row>
    <row r="8" spans="2:12" ht="16.5" thickBot="1" x14ac:dyDescent="0.3">
      <c r="B8" s="85"/>
      <c r="C8" s="85"/>
      <c r="D8" s="85"/>
      <c r="E8" s="85"/>
      <c r="L8" s="85"/>
    </row>
    <row r="9" spans="2:12" ht="16.5" customHeight="1" thickBot="1" x14ac:dyDescent="0.3">
      <c r="F9" s="115" t="s">
        <v>131</v>
      </c>
      <c r="G9" s="116"/>
      <c r="H9" s="116"/>
      <c r="I9" s="116"/>
      <c r="J9" s="116"/>
    </row>
    <row r="10" spans="2:12" ht="79.5" thickBot="1" x14ac:dyDescent="0.3">
      <c r="B10" s="117" t="s">
        <v>6</v>
      </c>
      <c r="C10" s="117" t="s">
        <v>7</v>
      </c>
      <c r="D10" s="117" t="s">
        <v>8</v>
      </c>
      <c r="E10" s="117" t="s">
        <v>130</v>
      </c>
      <c r="F10" s="1" t="s">
        <v>134</v>
      </c>
      <c r="G10" s="1" t="s">
        <v>135</v>
      </c>
      <c r="H10" s="1" t="s">
        <v>136</v>
      </c>
      <c r="I10" s="1" t="s">
        <v>137</v>
      </c>
      <c r="J10" s="1" t="s">
        <v>138</v>
      </c>
      <c r="K10" s="117" t="s">
        <v>132</v>
      </c>
      <c r="L10" s="117" t="s">
        <v>133</v>
      </c>
    </row>
    <row r="11" spans="2:12" ht="16.5" thickBot="1" x14ac:dyDescent="0.3">
      <c r="B11" s="86">
        <v>1</v>
      </c>
      <c r="C11" s="86"/>
      <c r="D11" s="86"/>
      <c r="E11" s="86"/>
      <c r="F11" s="86"/>
      <c r="G11" s="86"/>
      <c r="H11" s="86"/>
      <c r="I11" s="86"/>
      <c r="J11" s="86"/>
      <c r="K11" s="86"/>
      <c r="L11" s="86" t="e">
        <f>(F11*G11*H11*I11)/J11</f>
        <v>#DIV/0!</v>
      </c>
    </row>
    <row r="12" spans="2:12" ht="16.5" thickBot="1" x14ac:dyDescent="0.3">
      <c r="B12" s="86">
        <v>2</v>
      </c>
      <c r="C12" s="87"/>
      <c r="D12" s="87"/>
      <c r="E12" s="87"/>
      <c r="F12" s="87"/>
      <c r="G12" s="87"/>
      <c r="H12" s="87"/>
      <c r="I12" s="87"/>
      <c r="J12" s="87"/>
      <c r="K12" s="87"/>
      <c r="L12" s="86" t="e">
        <f t="shared" ref="L12:L103" si="0">(F12*G12*H12*I12)/J12</f>
        <v>#DIV/0!</v>
      </c>
    </row>
    <row r="13" spans="2:12" ht="16.5" thickBot="1" x14ac:dyDescent="0.3">
      <c r="B13" s="86">
        <v>3</v>
      </c>
      <c r="C13" s="87"/>
      <c r="D13" s="87"/>
      <c r="E13" s="87"/>
      <c r="F13" s="87"/>
      <c r="G13" s="87"/>
      <c r="H13" s="87"/>
      <c r="I13" s="87"/>
      <c r="J13" s="87"/>
      <c r="K13" s="87"/>
      <c r="L13" s="86" t="e">
        <f t="shared" si="0"/>
        <v>#DIV/0!</v>
      </c>
    </row>
    <row r="14" spans="2:12" ht="16.5" thickBot="1" x14ac:dyDescent="0.3">
      <c r="B14" s="86">
        <v>4</v>
      </c>
      <c r="C14" s="87"/>
      <c r="D14" s="87"/>
      <c r="E14" s="87"/>
      <c r="F14" s="87"/>
      <c r="G14" s="87"/>
      <c r="H14" s="87"/>
      <c r="I14" s="87"/>
      <c r="J14" s="87"/>
      <c r="K14" s="87"/>
      <c r="L14" s="86" t="e">
        <f t="shared" si="0"/>
        <v>#DIV/0!</v>
      </c>
    </row>
    <row r="15" spans="2:12" ht="16.5" thickBot="1" x14ac:dyDescent="0.3">
      <c r="B15" s="86">
        <v>5</v>
      </c>
      <c r="C15" s="87"/>
      <c r="D15" s="87"/>
      <c r="E15" s="87"/>
      <c r="F15" s="87"/>
      <c r="G15" s="87"/>
      <c r="H15" s="87"/>
      <c r="I15" s="87"/>
      <c r="J15" s="87"/>
      <c r="K15" s="87"/>
      <c r="L15" s="86" t="e">
        <f t="shared" si="0"/>
        <v>#DIV/0!</v>
      </c>
    </row>
    <row r="16" spans="2:12" ht="16.5" thickBot="1" x14ac:dyDescent="0.3">
      <c r="B16" s="86">
        <v>6</v>
      </c>
      <c r="C16" s="87"/>
      <c r="D16" s="87"/>
      <c r="E16" s="87"/>
      <c r="F16" s="87"/>
      <c r="G16" s="87"/>
      <c r="H16" s="87"/>
      <c r="I16" s="87"/>
      <c r="J16" s="87"/>
      <c r="K16" s="87"/>
      <c r="L16" s="86" t="e">
        <f t="shared" si="0"/>
        <v>#DIV/0!</v>
      </c>
    </row>
    <row r="17" spans="2:12" ht="16.5" thickBot="1" x14ac:dyDescent="0.3">
      <c r="B17" s="86">
        <v>7</v>
      </c>
      <c r="C17" s="87"/>
      <c r="D17" s="87"/>
      <c r="E17" s="87"/>
      <c r="F17" s="87"/>
      <c r="G17" s="87"/>
      <c r="H17" s="87"/>
      <c r="I17" s="87"/>
      <c r="J17" s="87"/>
      <c r="K17" s="87"/>
      <c r="L17" s="86" t="e">
        <f t="shared" si="0"/>
        <v>#DIV/0!</v>
      </c>
    </row>
    <row r="18" spans="2:12" ht="16.5" thickBot="1" x14ac:dyDescent="0.3">
      <c r="B18" s="86">
        <v>8</v>
      </c>
      <c r="C18" s="87"/>
      <c r="D18" s="87"/>
      <c r="E18" s="87"/>
      <c r="F18" s="87"/>
      <c r="G18" s="87"/>
      <c r="H18" s="87"/>
      <c r="I18" s="87"/>
      <c r="J18" s="87"/>
      <c r="K18" s="87"/>
      <c r="L18" s="86" t="e">
        <f t="shared" si="0"/>
        <v>#DIV/0!</v>
      </c>
    </row>
    <row r="19" spans="2:12" ht="16.5" thickBot="1" x14ac:dyDescent="0.3">
      <c r="B19" s="86">
        <v>9</v>
      </c>
      <c r="C19" s="87"/>
      <c r="D19" s="87"/>
      <c r="E19" s="87"/>
      <c r="F19" s="87"/>
      <c r="G19" s="87"/>
      <c r="H19" s="87"/>
      <c r="I19" s="87"/>
      <c r="J19" s="87"/>
      <c r="K19" s="87"/>
      <c r="L19" s="86" t="e">
        <f t="shared" si="0"/>
        <v>#DIV/0!</v>
      </c>
    </row>
    <row r="20" spans="2:12" ht="16.5" thickBot="1" x14ac:dyDescent="0.3">
      <c r="B20" s="86">
        <v>10</v>
      </c>
      <c r="C20" s="87"/>
      <c r="D20" s="87"/>
      <c r="E20" s="87"/>
      <c r="F20" s="87"/>
      <c r="G20" s="87"/>
      <c r="H20" s="87"/>
      <c r="I20" s="87"/>
      <c r="J20" s="87"/>
      <c r="K20" s="87"/>
      <c r="L20" s="86" t="e">
        <f t="shared" si="0"/>
        <v>#DIV/0!</v>
      </c>
    </row>
    <row r="21" spans="2:12" ht="16.5" thickBot="1" x14ac:dyDescent="0.3">
      <c r="B21" s="86">
        <v>11</v>
      </c>
      <c r="C21" s="87"/>
      <c r="D21" s="87"/>
      <c r="E21" s="87"/>
      <c r="F21" s="87"/>
      <c r="G21" s="87"/>
      <c r="H21" s="87"/>
      <c r="I21" s="87"/>
      <c r="J21" s="87"/>
      <c r="K21" s="87"/>
      <c r="L21" s="86" t="e">
        <f t="shared" si="0"/>
        <v>#DIV/0!</v>
      </c>
    </row>
    <row r="22" spans="2:12" ht="16.5" thickBot="1" x14ac:dyDescent="0.3">
      <c r="B22" s="86">
        <v>12</v>
      </c>
      <c r="C22" s="87"/>
      <c r="D22" s="87"/>
      <c r="E22" s="87"/>
      <c r="F22" s="87"/>
      <c r="G22" s="87"/>
      <c r="H22" s="87"/>
      <c r="I22" s="87"/>
      <c r="J22" s="87"/>
      <c r="K22" s="87"/>
      <c r="L22" s="86" t="e">
        <f t="shared" si="0"/>
        <v>#DIV/0!</v>
      </c>
    </row>
    <row r="23" spans="2:12" ht="16.5" thickBot="1" x14ac:dyDescent="0.3">
      <c r="B23" s="86">
        <v>13</v>
      </c>
      <c r="C23" s="87"/>
      <c r="D23" s="87"/>
      <c r="E23" s="87"/>
      <c r="F23" s="87"/>
      <c r="G23" s="87"/>
      <c r="H23" s="87"/>
      <c r="I23" s="87"/>
      <c r="J23" s="87"/>
      <c r="K23" s="87"/>
      <c r="L23" s="86" t="e">
        <f t="shared" si="0"/>
        <v>#DIV/0!</v>
      </c>
    </row>
    <row r="24" spans="2:12" ht="16.5" thickBot="1" x14ac:dyDescent="0.3">
      <c r="B24" s="86">
        <v>14</v>
      </c>
      <c r="C24" s="87"/>
      <c r="D24" s="87"/>
      <c r="E24" s="87"/>
      <c r="F24" s="87"/>
      <c r="G24" s="87"/>
      <c r="H24" s="87"/>
      <c r="I24" s="87"/>
      <c r="J24" s="87"/>
      <c r="K24" s="87"/>
      <c r="L24" s="86" t="e">
        <f t="shared" si="0"/>
        <v>#DIV/0!</v>
      </c>
    </row>
    <row r="25" spans="2:12" ht="16.5" thickBot="1" x14ac:dyDescent="0.3">
      <c r="B25" s="86">
        <v>15</v>
      </c>
      <c r="C25" s="87"/>
      <c r="D25" s="87"/>
      <c r="E25" s="87"/>
      <c r="F25" s="87"/>
      <c r="G25" s="87"/>
      <c r="H25" s="87"/>
      <c r="I25" s="87"/>
      <c r="J25" s="87"/>
      <c r="K25" s="87"/>
      <c r="L25" s="86" t="e">
        <f t="shared" si="0"/>
        <v>#DIV/0!</v>
      </c>
    </row>
    <row r="26" spans="2:12" ht="16.5" thickBot="1" x14ac:dyDescent="0.3">
      <c r="B26" s="86">
        <v>16</v>
      </c>
      <c r="C26" s="87"/>
      <c r="D26" s="87"/>
      <c r="E26" s="87"/>
      <c r="F26" s="87"/>
      <c r="G26" s="87"/>
      <c r="H26" s="87"/>
      <c r="I26" s="87"/>
      <c r="J26" s="87"/>
      <c r="K26" s="87"/>
      <c r="L26" s="86" t="e">
        <f t="shared" si="0"/>
        <v>#DIV/0!</v>
      </c>
    </row>
    <row r="27" spans="2:12" ht="16.5" thickBot="1" x14ac:dyDescent="0.3">
      <c r="B27" s="86">
        <v>17</v>
      </c>
      <c r="C27" s="87"/>
      <c r="D27" s="87"/>
      <c r="E27" s="87"/>
      <c r="F27" s="87"/>
      <c r="G27" s="87"/>
      <c r="H27" s="87"/>
      <c r="I27" s="87"/>
      <c r="J27" s="87"/>
      <c r="K27" s="87"/>
      <c r="L27" s="86" t="e">
        <f t="shared" si="0"/>
        <v>#DIV/0!</v>
      </c>
    </row>
    <row r="28" spans="2:12" ht="16.5" thickBot="1" x14ac:dyDescent="0.3">
      <c r="B28" s="86">
        <v>18</v>
      </c>
      <c r="C28" s="87"/>
      <c r="D28" s="87"/>
      <c r="E28" s="87"/>
      <c r="F28" s="87"/>
      <c r="G28" s="87"/>
      <c r="H28" s="87"/>
      <c r="I28" s="87"/>
      <c r="J28" s="87"/>
      <c r="K28" s="87"/>
      <c r="L28" s="86" t="e">
        <f t="shared" si="0"/>
        <v>#DIV/0!</v>
      </c>
    </row>
    <row r="29" spans="2:12" ht="16.5" thickBot="1" x14ac:dyDescent="0.3">
      <c r="B29" s="86">
        <v>19</v>
      </c>
      <c r="C29" s="87"/>
      <c r="D29" s="87"/>
      <c r="E29" s="87"/>
      <c r="F29" s="87"/>
      <c r="G29" s="87"/>
      <c r="H29" s="87"/>
      <c r="I29" s="87"/>
      <c r="J29" s="87"/>
      <c r="K29" s="87"/>
      <c r="L29" s="86" t="e">
        <f t="shared" si="0"/>
        <v>#DIV/0!</v>
      </c>
    </row>
    <row r="30" spans="2:12" ht="16.5" thickBot="1" x14ac:dyDescent="0.3">
      <c r="B30" s="86">
        <v>20</v>
      </c>
      <c r="C30" s="87"/>
      <c r="D30" s="87"/>
      <c r="E30" s="87"/>
      <c r="F30" s="87"/>
      <c r="G30" s="87"/>
      <c r="H30" s="87"/>
      <c r="I30" s="87"/>
      <c r="J30" s="87"/>
      <c r="K30" s="87"/>
      <c r="L30" s="86" t="e">
        <f t="shared" si="0"/>
        <v>#DIV/0!</v>
      </c>
    </row>
    <row r="31" spans="2:12" ht="16.5" thickBot="1" x14ac:dyDescent="0.3">
      <c r="B31" s="86">
        <v>21</v>
      </c>
      <c r="C31" s="87"/>
      <c r="D31" s="87"/>
      <c r="E31" s="87"/>
      <c r="F31" s="87"/>
      <c r="G31" s="87"/>
      <c r="H31" s="87"/>
      <c r="I31" s="87"/>
      <c r="J31" s="87"/>
      <c r="K31" s="87"/>
      <c r="L31" s="86" t="e">
        <f t="shared" si="0"/>
        <v>#DIV/0!</v>
      </c>
    </row>
    <row r="32" spans="2:12" ht="16.5" thickBot="1" x14ac:dyDescent="0.3">
      <c r="B32" s="86">
        <v>22</v>
      </c>
      <c r="C32" s="87"/>
      <c r="D32" s="87"/>
      <c r="E32" s="87"/>
      <c r="F32" s="87"/>
      <c r="G32" s="87"/>
      <c r="H32" s="87"/>
      <c r="I32" s="87"/>
      <c r="J32" s="87"/>
      <c r="K32" s="87"/>
      <c r="L32" s="86" t="e">
        <f t="shared" si="0"/>
        <v>#DIV/0!</v>
      </c>
    </row>
    <row r="33" spans="2:12" ht="16.5" thickBot="1" x14ac:dyDescent="0.3">
      <c r="B33" s="86">
        <v>23</v>
      </c>
      <c r="C33" s="87"/>
      <c r="D33" s="87"/>
      <c r="E33" s="87"/>
      <c r="F33" s="87"/>
      <c r="G33" s="87"/>
      <c r="H33" s="87"/>
      <c r="I33" s="87"/>
      <c r="J33" s="87"/>
      <c r="K33" s="87"/>
      <c r="L33" s="86" t="e">
        <f t="shared" si="0"/>
        <v>#DIV/0!</v>
      </c>
    </row>
    <row r="34" spans="2:12" ht="16.5" thickBot="1" x14ac:dyDescent="0.3">
      <c r="B34" s="86">
        <v>24</v>
      </c>
      <c r="C34" s="87"/>
      <c r="D34" s="87"/>
      <c r="E34" s="87"/>
      <c r="F34" s="87"/>
      <c r="G34" s="87"/>
      <c r="H34" s="87"/>
      <c r="I34" s="87"/>
      <c r="J34" s="87"/>
      <c r="K34" s="87"/>
      <c r="L34" s="86" t="e">
        <f t="shared" si="0"/>
        <v>#DIV/0!</v>
      </c>
    </row>
    <row r="35" spans="2:12" ht="16.5" thickBot="1" x14ac:dyDescent="0.3">
      <c r="B35" s="86">
        <v>25</v>
      </c>
      <c r="C35" s="87"/>
      <c r="D35" s="87"/>
      <c r="E35" s="87"/>
      <c r="F35" s="87"/>
      <c r="G35" s="87"/>
      <c r="H35" s="87"/>
      <c r="I35" s="87"/>
      <c r="J35" s="87"/>
      <c r="K35" s="87"/>
      <c r="L35" s="86" t="e">
        <f t="shared" si="0"/>
        <v>#DIV/0!</v>
      </c>
    </row>
    <row r="36" spans="2:12" ht="16.5" thickBot="1" x14ac:dyDescent="0.3">
      <c r="B36" s="86">
        <v>26</v>
      </c>
      <c r="C36" s="87"/>
      <c r="D36" s="87"/>
      <c r="E36" s="87"/>
      <c r="F36" s="87"/>
      <c r="G36" s="87"/>
      <c r="H36" s="87"/>
      <c r="I36" s="87"/>
      <c r="J36" s="87"/>
      <c r="K36" s="87"/>
      <c r="L36" s="86" t="e">
        <f t="shared" si="0"/>
        <v>#DIV/0!</v>
      </c>
    </row>
    <row r="37" spans="2:12" ht="16.5" thickBot="1" x14ac:dyDescent="0.3">
      <c r="B37" s="86">
        <v>27</v>
      </c>
      <c r="C37" s="87"/>
      <c r="D37" s="87"/>
      <c r="E37" s="87"/>
      <c r="F37" s="87"/>
      <c r="G37" s="87"/>
      <c r="H37" s="87"/>
      <c r="I37" s="87"/>
      <c r="J37" s="87"/>
      <c r="K37" s="87"/>
      <c r="L37" s="86" t="e">
        <f t="shared" si="0"/>
        <v>#DIV/0!</v>
      </c>
    </row>
    <row r="38" spans="2:12" ht="16.5" thickBot="1" x14ac:dyDescent="0.3">
      <c r="B38" s="86">
        <v>28</v>
      </c>
      <c r="C38" s="87"/>
      <c r="D38" s="87"/>
      <c r="E38" s="87"/>
      <c r="F38" s="87"/>
      <c r="G38" s="87"/>
      <c r="H38" s="87"/>
      <c r="I38" s="87"/>
      <c r="J38" s="87"/>
      <c r="K38" s="87"/>
      <c r="L38" s="86" t="e">
        <f t="shared" si="0"/>
        <v>#DIV/0!</v>
      </c>
    </row>
    <row r="39" spans="2:12" ht="16.5" thickBot="1" x14ac:dyDescent="0.3">
      <c r="B39" s="86">
        <v>29</v>
      </c>
      <c r="C39" s="87"/>
      <c r="D39" s="87"/>
      <c r="E39" s="87"/>
      <c r="F39" s="87"/>
      <c r="G39" s="87"/>
      <c r="H39" s="87"/>
      <c r="I39" s="87"/>
      <c r="J39" s="87"/>
      <c r="K39" s="87"/>
      <c r="L39" s="86" t="e">
        <f t="shared" si="0"/>
        <v>#DIV/0!</v>
      </c>
    </row>
    <row r="40" spans="2:12" ht="16.5" thickBot="1" x14ac:dyDescent="0.3">
      <c r="B40" s="86">
        <v>30</v>
      </c>
      <c r="C40" s="87"/>
      <c r="D40" s="87"/>
      <c r="E40" s="87"/>
      <c r="F40" s="87"/>
      <c r="G40" s="87"/>
      <c r="H40" s="87"/>
      <c r="I40" s="87"/>
      <c r="J40" s="87"/>
      <c r="K40" s="87"/>
      <c r="L40" s="86" t="e">
        <f t="shared" si="0"/>
        <v>#DIV/0!</v>
      </c>
    </row>
    <row r="41" spans="2:12" ht="16.5" thickBot="1" x14ac:dyDescent="0.3">
      <c r="B41" s="86">
        <v>31</v>
      </c>
      <c r="C41" s="87"/>
      <c r="D41" s="87"/>
      <c r="E41" s="87"/>
      <c r="F41" s="87"/>
      <c r="G41" s="87"/>
      <c r="H41" s="87"/>
      <c r="I41" s="87"/>
      <c r="J41" s="87"/>
      <c r="K41" s="87"/>
      <c r="L41" s="86" t="e">
        <f t="shared" si="0"/>
        <v>#DIV/0!</v>
      </c>
    </row>
    <row r="42" spans="2:12" ht="16.5" thickBot="1" x14ac:dyDescent="0.3">
      <c r="B42" s="86">
        <v>32</v>
      </c>
      <c r="C42" s="87"/>
      <c r="D42" s="87"/>
      <c r="E42" s="87"/>
      <c r="F42" s="87"/>
      <c r="G42" s="87"/>
      <c r="H42" s="87"/>
      <c r="I42" s="87"/>
      <c r="J42" s="87"/>
      <c r="K42" s="87"/>
      <c r="L42" s="86" t="e">
        <f t="shared" si="0"/>
        <v>#DIV/0!</v>
      </c>
    </row>
    <row r="43" spans="2:12" ht="16.5" thickBot="1" x14ac:dyDescent="0.3">
      <c r="B43" s="86">
        <v>33</v>
      </c>
      <c r="C43" s="87"/>
      <c r="D43" s="87"/>
      <c r="E43" s="87"/>
      <c r="F43" s="87"/>
      <c r="G43" s="87"/>
      <c r="H43" s="87"/>
      <c r="I43" s="87"/>
      <c r="J43" s="87"/>
      <c r="K43" s="87"/>
      <c r="L43" s="86" t="e">
        <f t="shared" si="0"/>
        <v>#DIV/0!</v>
      </c>
    </row>
    <row r="44" spans="2:12" ht="16.5" thickBot="1" x14ac:dyDescent="0.3">
      <c r="B44" s="86">
        <v>34</v>
      </c>
      <c r="C44" s="87"/>
      <c r="D44" s="87"/>
      <c r="E44" s="87"/>
      <c r="F44" s="87"/>
      <c r="G44" s="87"/>
      <c r="H44" s="87"/>
      <c r="I44" s="87"/>
      <c r="J44" s="87"/>
      <c r="K44" s="87"/>
      <c r="L44" s="86" t="e">
        <f t="shared" si="0"/>
        <v>#DIV/0!</v>
      </c>
    </row>
    <row r="45" spans="2:12" ht="16.5" thickBot="1" x14ac:dyDescent="0.3">
      <c r="B45" s="86">
        <v>35</v>
      </c>
      <c r="C45" s="87"/>
      <c r="D45" s="87"/>
      <c r="E45" s="87"/>
      <c r="F45" s="87"/>
      <c r="G45" s="87"/>
      <c r="H45" s="87"/>
      <c r="I45" s="87"/>
      <c r="J45" s="87"/>
      <c r="K45" s="87"/>
      <c r="L45" s="86" t="e">
        <f t="shared" si="0"/>
        <v>#DIV/0!</v>
      </c>
    </row>
    <row r="46" spans="2:12" ht="16.5" thickBot="1" x14ac:dyDescent="0.3">
      <c r="B46" s="86">
        <v>36</v>
      </c>
      <c r="C46" s="87"/>
      <c r="D46" s="87"/>
      <c r="E46" s="87"/>
      <c r="F46" s="87"/>
      <c r="G46" s="87"/>
      <c r="H46" s="87"/>
      <c r="I46" s="87"/>
      <c r="J46" s="87"/>
      <c r="K46" s="87"/>
      <c r="L46" s="86" t="e">
        <f t="shared" si="0"/>
        <v>#DIV/0!</v>
      </c>
    </row>
    <row r="47" spans="2:12" ht="16.5" thickBot="1" x14ac:dyDescent="0.3">
      <c r="B47" s="86">
        <v>37</v>
      </c>
      <c r="C47" s="87"/>
      <c r="D47" s="87"/>
      <c r="E47" s="87"/>
      <c r="F47" s="87"/>
      <c r="G47" s="87"/>
      <c r="H47" s="87"/>
      <c r="I47" s="87"/>
      <c r="J47" s="87"/>
      <c r="K47" s="87"/>
      <c r="L47" s="86" t="e">
        <f t="shared" si="0"/>
        <v>#DIV/0!</v>
      </c>
    </row>
    <row r="48" spans="2:12" ht="16.5" thickBot="1" x14ac:dyDescent="0.3">
      <c r="B48" s="86">
        <v>38</v>
      </c>
      <c r="C48" s="87"/>
      <c r="D48" s="87"/>
      <c r="E48" s="87"/>
      <c r="F48" s="87"/>
      <c r="G48" s="87"/>
      <c r="H48" s="87"/>
      <c r="I48" s="87"/>
      <c r="J48" s="87"/>
      <c r="K48" s="87"/>
      <c r="L48" s="86" t="e">
        <f t="shared" si="0"/>
        <v>#DIV/0!</v>
      </c>
    </row>
    <row r="49" spans="2:12" ht="16.5" thickBot="1" x14ac:dyDescent="0.3">
      <c r="B49" s="86">
        <v>39</v>
      </c>
      <c r="C49" s="87"/>
      <c r="D49" s="87"/>
      <c r="E49" s="87"/>
      <c r="F49" s="87"/>
      <c r="G49" s="87"/>
      <c r="H49" s="87"/>
      <c r="I49" s="87"/>
      <c r="J49" s="87"/>
      <c r="K49" s="87"/>
      <c r="L49" s="86" t="e">
        <f t="shared" si="0"/>
        <v>#DIV/0!</v>
      </c>
    </row>
    <row r="50" spans="2:12" ht="16.5" thickBot="1" x14ac:dyDescent="0.3">
      <c r="B50" s="86">
        <v>40</v>
      </c>
      <c r="C50" s="87"/>
      <c r="D50" s="87"/>
      <c r="E50" s="87"/>
      <c r="F50" s="87"/>
      <c r="G50" s="87"/>
      <c r="H50" s="87"/>
      <c r="I50" s="87"/>
      <c r="J50" s="87"/>
      <c r="K50" s="87"/>
      <c r="L50" s="86" t="e">
        <f t="shared" si="0"/>
        <v>#DIV/0!</v>
      </c>
    </row>
    <row r="51" spans="2:12" ht="16.5" thickBot="1" x14ac:dyDescent="0.3">
      <c r="B51" s="86">
        <v>41</v>
      </c>
      <c r="C51" s="87"/>
      <c r="D51" s="87"/>
      <c r="E51" s="87"/>
      <c r="F51" s="87"/>
      <c r="G51" s="87"/>
      <c r="H51" s="87"/>
      <c r="I51" s="87"/>
      <c r="J51" s="87"/>
      <c r="K51" s="87"/>
      <c r="L51" s="86" t="e">
        <f t="shared" si="0"/>
        <v>#DIV/0!</v>
      </c>
    </row>
    <row r="52" spans="2:12" ht="16.5" thickBot="1" x14ac:dyDescent="0.3">
      <c r="B52" s="86">
        <v>42</v>
      </c>
      <c r="C52" s="87"/>
      <c r="D52" s="87"/>
      <c r="E52" s="87"/>
      <c r="F52" s="87"/>
      <c r="G52" s="87"/>
      <c r="H52" s="87"/>
      <c r="I52" s="87"/>
      <c r="J52" s="87"/>
      <c r="K52" s="87"/>
      <c r="L52" s="86" t="e">
        <f t="shared" si="0"/>
        <v>#DIV/0!</v>
      </c>
    </row>
    <row r="53" spans="2:12" ht="16.5" thickBot="1" x14ac:dyDescent="0.3">
      <c r="B53" s="86">
        <v>43</v>
      </c>
      <c r="C53" s="87"/>
      <c r="D53" s="87"/>
      <c r="E53" s="87"/>
      <c r="F53" s="87"/>
      <c r="G53" s="87"/>
      <c r="H53" s="87"/>
      <c r="I53" s="87"/>
      <c r="J53" s="87"/>
      <c r="K53" s="87"/>
      <c r="L53" s="86" t="e">
        <f t="shared" si="0"/>
        <v>#DIV/0!</v>
      </c>
    </row>
    <row r="54" spans="2:12" ht="16.5" thickBot="1" x14ac:dyDescent="0.3">
      <c r="B54" s="86">
        <v>44</v>
      </c>
      <c r="C54" s="87"/>
      <c r="D54" s="87"/>
      <c r="E54" s="87"/>
      <c r="F54" s="87"/>
      <c r="G54" s="87"/>
      <c r="H54" s="87"/>
      <c r="I54" s="87"/>
      <c r="J54" s="87"/>
      <c r="K54" s="87"/>
      <c r="L54" s="86" t="e">
        <f t="shared" si="0"/>
        <v>#DIV/0!</v>
      </c>
    </row>
    <row r="55" spans="2:12" ht="16.5" thickBot="1" x14ac:dyDescent="0.3">
      <c r="B55" s="86">
        <v>45</v>
      </c>
      <c r="C55" s="87"/>
      <c r="D55" s="87"/>
      <c r="E55" s="87"/>
      <c r="F55" s="87"/>
      <c r="G55" s="87"/>
      <c r="H55" s="87"/>
      <c r="I55" s="87"/>
      <c r="J55" s="87"/>
      <c r="K55" s="87"/>
      <c r="L55" s="86" t="e">
        <f t="shared" si="0"/>
        <v>#DIV/0!</v>
      </c>
    </row>
    <row r="56" spans="2:12" ht="16.5" thickBot="1" x14ac:dyDescent="0.3">
      <c r="B56" s="86">
        <v>46</v>
      </c>
      <c r="C56" s="87"/>
      <c r="D56" s="87"/>
      <c r="E56" s="87"/>
      <c r="F56" s="87"/>
      <c r="G56" s="87"/>
      <c r="H56" s="87"/>
      <c r="I56" s="87"/>
      <c r="J56" s="87"/>
      <c r="K56" s="87"/>
      <c r="L56" s="86" t="e">
        <f t="shared" si="0"/>
        <v>#DIV/0!</v>
      </c>
    </row>
    <row r="57" spans="2:12" ht="16.5" thickBot="1" x14ac:dyDescent="0.3">
      <c r="B57" s="86">
        <v>47</v>
      </c>
      <c r="C57" s="87"/>
      <c r="D57" s="87"/>
      <c r="E57" s="87"/>
      <c r="F57" s="87"/>
      <c r="G57" s="87"/>
      <c r="H57" s="87"/>
      <c r="I57" s="87"/>
      <c r="J57" s="87"/>
      <c r="K57" s="87"/>
      <c r="L57" s="86" t="e">
        <f t="shared" si="0"/>
        <v>#DIV/0!</v>
      </c>
    </row>
    <row r="58" spans="2:12" ht="16.5" thickBot="1" x14ac:dyDescent="0.3">
      <c r="B58" s="86">
        <v>48</v>
      </c>
      <c r="C58" s="87"/>
      <c r="D58" s="87"/>
      <c r="E58" s="87"/>
      <c r="F58" s="87"/>
      <c r="G58" s="87"/>
      <c r="H58" s="87"/>
      <c r="I58" s="87"/>
      <c r="J58" s="87"/>
      <c r="K58" s="87"/>
      <c r="L58" s="86" t="e">
        <f t="shared" si="0"/>
        <v>#DIV/0!</v>
      </c>
    </row>
    <row r="59" spans="2:12" ht="16.5" thickBot="1" x14ac:dyDescent="0.3">
      <c r="B59" s="86">
        <v>49</v>
      </c>
      <c r="C59" s="87"/>
      <c r="D59" s="87"/>
      <c r="E59" s="87"/>
      <c r="F59" s="87"/>
      <c r="G59" s="87"/>
      <c r="H59" s="87"/>
      <c r="I59" s="87"/>
      <c r="J59" s="87"/>
      <c r="K59" s="87"/>
      <c r="L59" s="86" t="e">
        <f t="shared" si="0"/>
        <v>#DIV/0!</v>
      </c>
    </row>
    <row r="60" spans="2:12" ht="16.5" thickBot="1" x14ac:dyDescent="0.3">
      <c r="B60" s="86">
        <v>50</v>
      </c>
      <c r="C60" s="87"/>
      <c r="D60" s="87"/>
      <c r="E60" s="87"/>
      <c r="F60" s="87"/>
      <c r="G60" s="87"/>
      <c r="H60" s="87"/>
      <c r="I60" s="87"/>
      <c r="J60" s="87"/>
      <c r="K60" s="87"/>
      <c r="L60" s="86" t="e">
        <f t="shared" si="0"/>
        <v>#DIV/0!</v>
      </c>
    </row>
    <row r="61" spans="2:12" ht="16.5" thickBot="1" x14ac:dyDescent="0.3">
      <c r="B61" s="86">
        <v>51</v>
      </c>
      <c r="C61" s="87"/>
      <c r="D61" s="87"/>
      <c r="E61" s="87"/>
      <c r="F61" s="87"/>
      <c r="G61" s="87"/>
      <c r="H61" s="87"/>
      <c r="I61" s="87"/>
      <c r="J61" s="87"/>
      <c r="K61" s="87"/>
      <c r="L61" s="86" t="e">
        <f t="shared" si="0"/>
        <v>#DIV/0!</v>
      </c>
    </row>
    <row r="62" spans="2:12" ht="16.5" thickBot="1" x14ac:dyDescent="0.3">
      <c r="B62" s="86">
        <v>52</v>
      </c>
      <c r="C62" s="87"/>
      <c r="D62" s="87"/>
      <c r="E62" s="87"/>
      <c r="F62" s="87"/>
      <c r="G62" s="87"/>
      <c r="H62" s="87"/>
      <c r="I62" s="87"/>
      <c r="J62" s="87"/>
      <c r="K62" s="87"/>
      <c r="L62" s="86" t="e">
        <f t="shared" si="0"/>
        <v>#DIV/0!</v>
      </c>
    </row>
    <row r="63" spans="2:12" ht="16.5" thickBot="1" x14ac:dyDescent="0.3">
      <c r="B63" s="86">
        <v>53</v>
      </c>
      <c r="C63" s="87"/>
      <c r="D63" s="87"/>
      <c r="E63" s="87"/>
      <c r="F63" s="87"/>
      <c r="G63" s="87"/>
      <c r="H63" s="87"/>
      <c r="I63" s="87"/>
      <c r="J63" s="87"/>
      <c r="K63" s="87"/>
      <c r="L63" s="86" t="e">
        <f t="shared" si="0"/>
        <v>#DIV/0!</v>
      </c>
    </row>
    <row r="64" spans="2:12" ht="16.5" thickBot="1" x14ac:dyDescent="0.3">
      <c r="B64" s="86">
        <v>54</v>
      </c>
      <c r="C64" s="87"/>
      <c r="D64" s="87"/>
      <c r="E64" s="87"/>
      <c r="F64" s="87"/>
      <c r="G64" s="87"/>
      <c r="H64" s="87"/>
      <c r="I64" s="87"/>
      <c r="J64" s="87"/>
      <c r="K64" s="87"/>
      <c r="L64" s="86" t="e">
        <f t="shared" si="0"/>
        <v>#DIV/0!</v>
      </c>
    </row>
    <row r="65" spans="2:12" ht="16.5" thickBot="1" x14ac:dyDescent="0.3">
      <c r="B65" s="86">
        <v>55</v>
      </c>
      <c r="C65" s="87"/>
      <c r="D65" s="87"/>
      <c r="E65" s="87"/>
      <c r="F65" s="87"/>
      <c r="G65" s="87"/>
      <c r="H65" s="87"/>
      <c r="I65" s="87"/>
      <c r="J65" s="87"/>
      <c r="K65" s="87"/>
      <c r="L65" s="86" t="e">
        <f t="shared" si="0"/>
        <v>#DIV/0!</v>
      </c>
    </row>
    <row r="66" spans="2:12" ht="16.5" thickBot="1" x14ac:dyDescent="0.3">
      <c r="B66" s="86">
        <v>56</v>
      </c>
      <c r="C66" s="87"/>
      <c r="D66" s="87"/>
      <c r="E66" s="87"/>
      <c r="F66" s="87"/>
      <c r="G66" s="87"/>
      <c r="H66" s="87"/>
      <c r="I66" s="87"/>
      <c r="J66" s="87"/>
      <c r="K66" s="87"/>
      <c r="L66" s="86" t="e">
        <f t="shared" si="0"/>
        <v>#DIV/0!</v>
      </c>
    </row>
    <row r="67" spans="2:12" ht="16.5" thickBot="1" x14ac:dyDescent="0.3">
      <c r="B67" s="86">
        <v>57</v>
      </c>
      <c r="C67" s="87"/>
      <c r="D67" s="87"/>
      <c r="E67" s="87"/>
      <c r="F67" s="87"/>
      <c r="G67" s="87"/>
      <c r="H67" s="87"/>
      <c r="I67" s="87"/>
      <c r="J67" s="87"/>
      <c r="K67" s="87"/>
      <c r="L67" s="86" t="e">
        <f t="shared" si="0"/>
        <v>#DIV/0!</v>
      </c>
    </row>
    <row r="68" spans="2:12" ht="16.5" thickBot="1" x14ac:dyDescent="0.3">
      <c r="B68" s="86">
        <v>58</v>
      </c>
      <c r="C68" s="87"/>
      <c r="D68" s="87"/>
      <c r="E68" s="87"/>
      <c r="F68" s="87"/>
      <c r="G68" s="87"/>
      <c r="H68" s="87"/>
      <c r="I68" s="87"/>
      <c r="J68" s="87"/>
      <c r="K68" s="87"/>
      <c r="L68" s="86" t="e">
        <f t="shared" si="0"/>
        <v>#DIV/0!</v>
      </c>
    </row>
    <row r="69" spans="2:12" ht="16.5" thickBot="1" x14ac:dyDescent="0.3">
      <c r="B69" s="86">
        <v>59</v>
      </c>
      <c r="C69" s="87"/>
      <c r="D69" s="87"/>
      <c r="E69" s="87"/>
      <c r="F69" s="87"/>
      <c r="G69" s="87"/>
      <c r="H69" s="87"/>
      <c r="I69" s="87"/>
      <c r="J69" s="87"/>
      <c r="K69" s="87"/>
      <c r="L69" s="86" t="e">
        <f t="shared" si="0"/>
        <v>#DIV/0!</v>
      </c>
    </row>
    <row r="70" spans="2:12" ht="16.5" thickBot="1" x14ac:dyDescent="0.3">
      <c r="B70" s="86">
        <v>60</v>
      </c>
      <c r="C70" s="87"/>
      <c r="D70" s="87"/>
      <c r="E70" s="87"/>
      <c r="F70" s="87"/>
      <c r="G70" s="87"/>
      <c r="H70" s="87"/>
      <c r="I70" s="87"/>
      <c r="J70" s="87"/>
      <c r="K70" s="87"/>
      <c r="L70" s="86" t="e">
        <f t="shared" si="0"/>
        <v>#DIV/0!</v>
      </c>
    </row>
    <row r="71" spans="2:12" ht="16.5" thickBot="1" x14ac:dyDescent="0.3">
      <c r="B71" s="86">
        <v>61</v>
      </c>
      <c r="C71" s="87"/>
      <c r="D71" s="87"/>
      <c r="E71" s="87"/>
      <c r="F71" s="87"/>
      <c r="G71" s="87"/>
      <c r="H71" s="87"/>
      <c r="I71" s="87"/>
      <c r="J71" s="87"/>
      <c r="K71" s="87"/>
      <c r="L71" s="86" t="e">
        <f t="shared" si="0"/>
        <v>#DIV/0!</v>
      </c>
    </row>
    <row r="72" spans="2:12" ht="16.5" thickBot="1" x14ac:dyDescent="0.3">
      <c r="B72" s="86">
        <v>62</v>
      </c>
      <c r="C72" s="87"/>
      <c r="D72" s="87"/>
      <c r="E72" s="87"/>
      <c r="F72" s="87"/>
      <c r="G72" s="87"/>
      <c r="H72" s="87"/>
      <c r="I72" s="87"/>
      <c r="J72" s="87"/>
      <c r="K72" s="87"/>
      <c r="L72" s="86" t="e">
        <f t="shared" si="0"/>
        <v>#DIV/0!</v>
      </c>
    </row>
    <row r="73" spans="2:12" ht="16.5" thickBot="1" x14ac:dyDescent="0.3">
      <c r="B73" s="86">
        <v>63</v>
      </c>
      <c r="C73" s="87"/>
      <c r="D73" s="87"/>
      <c r="E73" s="87"/>
      <c r="F73" s="87"/>
      <c r="G73" s="87"/>
      <c r="H73" s="87"/>
      <c r="I73" s="87"/>
      <c r="J73" s="87"/>
      <c r="K73" s="87"/>
      <c r="L73" s="86" t="e">
        <f t="shared" si="0"/>
        <v>#DIV/0!</v>
      </c>
    </row>
    <row r="74" spans="2:12" ht="16.5" thickBot="1" x14ac:dyDescent="0.3">
      <c r="B74" s="86">
        <v>64</v>
      </c>
      <c r="C74" s="87"/>
      <c r="D74" s="87"/>
      <c r="E74" s="87"/>
      <c r="F74" s="87"/>
      <c r="G74" s="87"/>
      <c r="H74" s="87"/>
      <c r="I74" s="87"/>
      <c r="J74" s="87"/>
      <c r="K74" s="87"/>
      <c r="L74" s="86" t="e">
        <f t="shared" si="0"/>
        <v>#DIV/0!</v>
      </c>
    </row>
    <row r="75" spans="2:12" ht="16.5" thickBot="1" x14ac:dyDescent="0.3">
      <c r="B75" s="86">
        <v>65</v>
      </c>
      <c r="C75" s="87"/>
      <c r="D75" s="87"/>
      <c r="E75" s="87"/>
      <c r="F75" s="87"/>
      <c r="G75" s="87"/>
      <c r="H75" s="87"/>
      <c r="I75" s="87"/>
      <c r="J75" s="87"/>
      <c r="K75" s="87"/>
      <c r="L75" s="86" t="e">
        <f t="shared" si="0"/>
        <v>#DIV/0!</v>
      </c>
    </row>
    <row r="76" spans="2:12" ht="16.5" thickBot="1" x14ac:dyDescent="0.3">
      <c r="B76" s="86">
        <v>66</v>
      </c>
      <c r="C76" s="87"/>
      <c r="D76" s="87"/>
      <c r="E76" s="87"/>
      <c r="F76" s="87"/>
      <c r="G76" s="87"/>
      <c r="H76" s="87"/>
      <c r="I76" s="87"/>
      <c r="J76" s="87"/>
      <c r="K76" s="87"/>
      <c r="L76" s="86" t="e">
        <f t="shared" si="0"/>
        <v>#DIV/0!</v>
      </c>
    </row>
    <row r="77" spans="2:12" ht="16.5" thickBot="1" x14ac:dyDescent="0.3">
      <c r="B77" s="86">
        <v>67</v>
      </c>
      <c r="C77" s="87"/>
      <c r="D77" s="87"/>
      <c r="E77" s="87"/>
      <c r="F77" s="87"/>
      <c r="G77" s="87"/>
      <c r="H77" s="87"/>
      <c r="I77" s="87"/>
      <c r="J77" s="87"/>
      <c r="K77" s="87"/>
      <c r="L77" s="86" t="e">
        <f t="shared" si="0"/>
        <v>#DIV/0!</v>
      </c>
    </row>
    <row r="78" spans="2:12" ht="16.5" thickBot="1" x14ac:dyDescent="0.3">
      <c r="B78" s="86">
        <v>68</v>
      </c>
      <c r="C78" s="87"/>
      <c r="D78" s="87"/>
      <c r="E78" s="87"/>
      <c r="F78" s="87"/>
      <c r="G78" s="87"/>
      <c r="H78" s="87"/>
      <c r="I78" s="87"/>
      <c r="J78" s="87"/>
      <c r="K78" s="87"/>
      <c r="L78" s="86" t="e">
        <f t="shared" si="0"/>
        <v>#DIV/0!</v>
      </c>
    </row>
    <row r="79" spans="2:12" ht="16.5" thickBot="1" x14ac:dyDescent="0.3">
      <c r="B79" s="86">
        <v>69</v>
      </c>
      <c r="C79" s="87"/>
      <c r="D79" s="87"/>
      <c r="E79" s="87"/>
      <c r="F79" s="87"/>
      <c r="G79" s="87"/>
      <c r="H79" s="87"/>
      <c r="I79" s="87"/>
      <c r="J79" s="87"/>
      <c r="K79" s="87"/>
      <c r="L79" s="86" t="e">
        <f t="shared" si="0"/>
        <v>#DIV/0!</v>
      </c>
    </row>
    <row r="80" spans="2:12" ht="16.5" thickBot="1" x14ac:dyDescent="0.3">
      <c r="B80" s="86">
        <v>70</v>
      </c>
      <c r="C80" s="87"/>
      <c r="D80" s="87"/>
      <c r="E80" s="87"/>
      <c r="F80" s="87"/>
      <c r="G80" s="87"/>
      <c r="H80" s="87"/>
      <c r="I80" s="87"/>
      <c r="J80" s="87"/>
      <c r="K80" s="87"/>
      <c r="L80" s="86" t="e">
        <f t="shared" si="0"/>
        <v>#DIV/0!</v>
      </c>
    </row>
    <row r="81" spans="2:12" ht="16.5" thickBot="1" x14ac:dyDescent="0.3">
      <c r="B81" s="86">
        <v>71</v>
      </c>
      <c r="C81" s="87"/>
      <c r="D81" s="87"/>
      <c r="E81" s="87"/>
      <c r="F81" s="87"/>
      <c r="G81" s="87"/>
      <c r="H81" s="87"/>
      <c r="I81" s="87"/>
      <c r="J81" s="87"/>
      <c r="K81" s="87"/>
      <c r="L81" s="86" t="e">
        <f t="shared" si="0"/>
        <v>#DIV/0!</v>
      </c>
    </row>
    <row r="82" spans="2:12" ht="16.5" thickBot="1" x14ac:dyDescent="0.3">
      <c r="B82" s="86">
        <v>72</v>
      </c>
      <c r="C82" s="87"/>
      <c r="D82" s="87"/>
      <c r="E82" s="87"/>
      <c r="F82" s="87"/>
      <c r="G82" s="87"/>
      <c r="H82" s="87"/>
      <c r="I82" s="87"/>
      <c r="J82" s="87"/>
      <c r="K82" s="87"/>
      <c r="L82" s="86" t="e">
        <f t="shared" si="0"/>
        <v>#DIV/0!</v>
      </c>
    </row>
    <row r="83" spans="2:12" ht="16.5" thickBot="1" x14ac:dyDescent="0.3">
      <c r="B83" s="86">
        <v>73</v>
      </c>
      <c r="C83" s="87"/>
      <c r="D83" s="87"/>
      <c r="E83" s="87"/>
      <c r="F83" s="87"/>
      <c r="G83" s="87"/>
      <c r="H83" s="87"/>
      <c r="I83" s="87"/>
      <c r="J83" s="87"/>
      <c r="K83" s="87"/>
      <c r="L83" s="86" t="e">
        <f t="shared" si="0"/>
        <v>#DIV/0!</v>
      </c>
    </row>
    <row r="84" spans="2:12" ht="16.5" thickBot="1" x14ac:dyDescent="0.3">
      <c r="B84" s="86">
        <v>74</v>
      </c>
      <c r="C84" s="87"/>
      <c r="D84" s="87"/>
      <c r="E84" s="87"/>
      <c r="F84" s="87"/>
      <c r="G84" s="87"/>
      <c r="H84" s="87"/>
      <c r="I84" s="87"/>
      <c r="J84" s="87"/>
      <c r="K84" s="87"/>
      <c r="L84" s="86" t="e">
        <f t="shared" si="0"/>
        <v>#DIV/0!</v>
      </c>
    </row>
    <row r="85" spans="2:12" ht="16.5" thickBot="1" x14ac:dyDescent="0.3">
      <c r="B85" s="86">
        <v>75</v>
      </c>
      <c r="C85" s="87"/>
      <c r="D85" s="87"/>
      <c r="E85" s="87"/>
      <c r="F85" s="87"/>
      <c r="G85" s="87"/>
      <c r="H85" s="87"/>
      <c r="I85" s="87"/>
      <c r="J85" s="87"/>
      <c r="K85" s="87"/>
      <c r="L85" s="86" t="e">
        <f t="shared" si="0"/>
        <v>#DIV/0!</v>
      </c>
    </row>
    <row r="86" spans="2:12" ht="16.5" thickBot="1" x14ac:dyDescent="0.3">
      <c r="B86" s="86">
        <v>76</v>
      </c>
      <c r="C86" s="87"/>
      <c r="D86" s="87"/>
      <c r="E86" s="87"/>
      <c r="F86" s="87"/>
      <c r="G86" s="87"/>
      <c r="H86" s="87"/>
      <c r="I86" s="87"/>
      <c r="J86" s="87"/>
      <c r="K86" s="87"/>
      <c r="L86" s="86" t="e">
        <f t="shared" si="0"/>
        <v>#DIV/0!</v>
      </c>
    </row>
    <row r="87" spans="2:12" ht="16.5" thickBot="1" x14ac:dyDescent="0.3">
      <c r="B87" s="86">
        <v>77</v>
      </c>
      <c r="C87" s="87"/>
      <c r="D87" s="87"/>
      <c r="E87" s="87"/>
      <c r="F87" s="87"/>
      <c r="G87" s="87"/>
      <c r="H87" s="87"/>
      <c r="I87" s="87"/>
      <c r="J87" s="87"/>
      <c r="K87" s="87"/>
      <c r="L87" s="86" t="e">
        <f t="shared" si="0"/>
        <v>#DIV/0!</v>
      </c>
    </row>
    <row r="88" spans="2:12" ht="16.5" thickBot="1" x14ac:dyDescent="0.3">
      <c r="B88" s="86">
        <v>78</v>
      </c>
      <c r="C88" s="87"/>
      <c r="D88" s="87"/>
      <c r="E88" s="87"/>
      <c r="F88" s="87"/>
      <c r="G88" s="87"/>
      <c r="H88" s="87"/>
      <c r="I88" s="87"/>
      <c r="J88" s="87"/>
      <c r="K88" s="87"/>
      <c r="L88" s="86" t="e">
        <f t="shared" si="0"/>
        <v>#DIV/0!</v>
      </c>
    </row>
    <row r="89" spans="2:12" ht="16.5" thickBot="1" x14ac:dyDescent="0.3">
      <c r="B89" s="86">
        <v>79</v>
      </c>
      <c r="C89" s="87"/>
      <c r="D89" s="87"/>
      <c r="E89" s="87"/>
      <c r="F89" s="87"/>
      <c r="G89" s="87"/>
      <c r="H89" s="87"/>
      <c r="I89" s="87"/>
      <c r="J89" s="87"/>
      <c r="K89" s="87"/>
      <c r="L89" s="86" t="e">
        <f t="shared" si="0"/>
        <v>#DIV/0!</v>
      </c>
    </row>
    <row r="90" spans="2:12" ht="16.5" thickBot="1" x14ac:dyDescent="0.3">
      <c r="B90" s="86">
        <v>80</v>
      </c>
      <c r="C90" s="87"/>
      <c r="D90" s="87"/>
      <c r="E90" s="87"/>
      <c r="F90" s="87"/>
      <c r="G90" s="87"/>
      <c r="H90" s="87"/>
      <c r="I90" s="87"/>
      <c r="J90" s="87"/>
      <c r="K90" s="87"/>
      <c r="L90" s="86" t="e">
        <f t="shared" si="0"/>
        <v>#DIV/0!</v>
      </c>
    </row>
    <row r="91" spans="2:12" ht="16.5" thickBot="1" x14ac:dyDescent="0.3">
      <c r="B91" s="86">
        <v>81</v>
      </c>
      <c r="C91" s="87"/>
      <c r="D91" s="87"/>
      <c r="E91" s="87"/>
      <c r="F91" s="87"/>
      <c r="G91" s="87"/>
      <c r="H91" s="87"/>
      <c r="I91" s="87"/>
      <c r="J91" s="87"/>
      <c r="K91" s="87"/>
      <c r="L91" s="86" t="e">
        <f t="shared" si="0"/>
        <v>#DIV/0!</v>
      </c>
    </row>
    <row r="92" spans="2:12" ht="16.5" thickBot="1" x14ac:dyDescent="0.3">
      <c r="B92" s="86">
        <v>82</v>
      </c>
      <c r="C92" s="87"/>
      <c r="D92" s="87"/>
      <c r="E92" s="87"/>
      <c r="F92" s="87"/>
      <c r="G92" s="87"/>
      <c r="H92" s="87"/>
      <c r="I92" s="87"/>
      <c r="J92" s="87"/>
      <c r="K92" s="87"/>
      <c r="L92" s="86" t="e">
        <f t="shared" si="0"/>
        <v>#DIV/0!</v>
      </c>
    </row>
    <row r="93" spans="2:12" ht="16.5" thickBot="1" x14ac:dyDescent="0.3">
      <c r="B93" s="86">
        <v>83</v>
      </c>
      <c r="C93" s="87"/>
      <c r="D93" s="87"/>
      <c r="E93" s="87"/>
      <c r="F93" s="87"/>
      <c r="G93" s="87"/>
      <c r="H93" s="87"/>
      <c r="I93" s="87"/>
      <c r="J93" s="87"/>
      <c r="K93" s="87"/>
      <c r="L93" s="86" t="e">
        <f t="shared" si="0"/>
        <v>#DIV/0!</v>
      </c>
    </row>
    <row r="94" spans="2:12" ht="16.5" thickBot="1" x14ac:dyDescent="0.3">
      <c r="B94" s="86">
        <v>84</v>
      </c>
      <c r="C94" s="87"/>
      <c r="D94" s="87"/>
      <c r="E94" s="87"/>
      <c r="F94" s="87"/>
      <c r="G94" s="87"/>
      <c r="H94" s="87"/>
      <c r="I94" s="87"/>
      <c r="J94" s="87"/>
      <c r="K94" s="87"/>
      <c r="L94" s="86" t="e">
        <f t="shared" si="0"/>
        <v>#DIV/0!</v>
      </c>
    </row>
    <row r="95" spans="2:12" ht="16.5" thickBot="1" x14ac:dyDescent="0.3">
      <c r="B95" s="86">
        <v>85</v>
      </c>
      <c r="C95" s="87"/>
      <c r="D95" s="87"/>
      <c r="E95" s="87"/>
      <c r="F95" s="87"/>
      <c r="G95" s="87"/>
      <c r="H95" s="87"/>
      <c r="I95" s="87"/>
      <c r="J95" s="87"/>
      <c r="K95" s="87"/>
      <c r="L95" s="86" t="e">
        <f t="shared" si="0"/>
        <v>#DIV/0!</v>
      </c>
    </row>
    <row r="96" spans="2:12" ht="16.5" thickBot="1" x14ac:dyDescent="0.3">
      <c r="B96" s="86">
        <v>86</v>
      </c>
      <c r="C96" s="87"/>
      <c r="D96" s="87"/>
      <c r="E96" s="87"/>
      <c r="F96" s="87"/>
      <c r="G96" s="87"/>
      <c r="H96" s="87"/>
      <c r="I96" s="87"/>
      <c r="J96" s="87"/>
      <c r="K96" s="87"/>
      <c r="L96" s="86" t="e">
        <f t="shared" si="0"/>
        <v>#DIV/0!</v>
      </c>
    </row>
    <row r="97" spans="2:12" ht="16.5" thickBot="1" x14ac:dyDescent="0.3">
      <c r="B97" s="86">
        <v>87</v>
      </c>
      <c r="C97" s="87"/>
      <c r="D97" s="87"/>
      <c r="E97" s="87"/>
      <c r="F97" s="87"/>
      <c r="G97" s="87"/>
      <c r="H97" s="87"/>
      <c r="I97" s="87"/>
      <c r="J97" s="87"/>
      <c r="K97" s="87"/>
      <c r="L97" s="86" t="e">
        <f t="shared" si="0"/>
        <v>#DIV/0!</v>
      </c>
    </row>
    <row r="98" spans="2:12" ht="16.5" thickBot="1" x14ac:dyDescent="0.3">
      <c r="B98" s="86">
        <v>88</v>
      </c>
      <c r="C98" s="87"/>
      <c r="D98" s="87"/>
      <c r="E98" s="87"/>
      <c r="F98" s="87"/>
      <c r="G98" s="87"/>
      <c r="H98" s="87"/>
      <c r="I98" s="87"/>
      <c r="J98" s="87"/>
      <c r="K98" s="87"/>
      <c r="L98" s="86" t="e">
        <f t="shared" si="0"/>
        <v>#DIV/0!</v>
      </c>
    </row>
    <row r="99" spans="2:12" ht="16.5" thickBot="1" x14ac:dyDescent="0.3">
      <c r="B99" s="86">
        <v>89</v>
      </c>
      <c r="C99" s="87"/>
      <c r="D99" s="87"/>
      <c r="E99" s="87"/>
      <c r="F99" s="87"/>
      <c r="G99" s="87"/>
      <c r="H99" s="87"/>
      <c r="I99" s="87"/>
      <c r="J99" s="87"/>
      <c r="K99" s="87"/>
      <c r="L99" s="86" t="e">
        <f t="shared" si="0"/>
        <v>#DIV/0!</v>
      </c>
    </row>
    <row r="100" spans="2:12" ht="16.5" thickBot="1" x14ac:dyDescent="0.3">
      <c r="B100" s="86">
        <v>90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6" t="e">
        <f t="shared" si="0"/>
        <v>#DIV/0!</v>
      </c>
    </row>
    <row r="101" spans="2:12" ht="16.5" thickBot="1" x14ac:dyDescent="0.3">
      <c r="B101" s="86">
        <v>91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6" t="e">
        <f t="shared" si="0"/>
        <v>#DIV/0!</v>
      </c>
    </row>
    <row r="102" spans="2:12" ht="16.5" thickBot="1" x14ac:dyDescent="0.3">
      <c r="B102" s="86">
        <v>92</v>
      </c>
      <c r="C102" s="87"/>
      <c r="D102" s="87"/>
      <c r="E102" s="87"/>
      <c r="F102" s="87"/>
      <c r="G102" s="87"/>
      <c r="H102" s="87"/>
      <c r="I102" s="87"/>
      <c r="J102" s="87"/>
      <c r="K102" s="87"/>
      <c r="L102" s="86" t="e">
        <f t="shared" si="0"/>
        <v>#DIV/0!</v>
      </c>
    </row>
    <row r="103" spans="2:12" ht="16.5" thickBot="1" x14ac:dyDescent="0.3">
      <c r="B103" s="86">
        <v>93</v>
      </c>
      <c r="C103" s="87"/>
      <c r="D103" s="87"/>
      <c r="E103" s="87"/>
      <c r="F103" s="87"/>
      <c r="G103" s="87"/>
      <c r="H103" s="87"/>
      <c r="I103" s="87"/>
      <c r="J103" s="87"/>
      <c r="K103" s="87"/>
      <c r="L103" s="86" t="e">
        <f t="shared" si="0"/>
        <v>#DIV/0!</v>
      </c>
    </row>
    <row r="104" spans="2:12" ht="16.5" thickBot="1" x14ac:dyDescent="0.3">
      <c r="B104" s="86">
        <v>94</v>
      </c>
      <c r="C104" s="87"/>
      <c r="D104" s="87"/>
      <c r="E104" s="87"/>
      <c r="F104" s="87"/>
      <c r="G104" s="87"/>
      <c r="H104" s="87"/>
      <c r="I104" s="87"/>
      <c r="J104" s="87"/>
      <c r="K104" s="87"/>
      <c r="L104" s="86" t="e">
        <f t="shared" ref="L104:L110" si="1">(F104*G104*H104*I104)/J104</f>
        <v>#DIV/0!</v>
      </c>
    </row>
    <row r="105" spans="2:12" ht="16.5" thickBot="1" x14ac:dyDescent="0.3">
      <c r="B105" s="86">
        <v>95</v>
      </c>
      <c r="C105" s="87"/>
      <c r="D105" s="87"/>
      <c r="E105" s="87"/>
      <c r="F105" s="87"/>
      <c r="G105" s="87"/>
      <c r="H105" s="87"/>
      <c r="I105" s="87"/>
      <c r="J105" s="87"/>
      <c r="K105" s="87"/>
      <c r="L105" s="86" t="e">
        <f t="shared" si="1"/>
        <v>#DIV/0!</v>
      </c>
    </row>
    <row r="106" spans="2:12" ht="16.5" thickBot="1" x14ac:dyDescent="0.3">
      <c r="B106" s="86">
        <v>96</v>
      </c>
      <c r="C106" s="87"/>
      <c r="D106" s="87"/>
      <c r="E106" s="87"/>
      <c r="F106" s="87"/>
      <c r="G106" s="87"/>
      <c r="H106" s="87"/>
      <c r="I106" s="87"/>
      <c r="J106" s="87"/>
      <c r="K106" s="87"/>
      <c r="L106" s="86" t="e">
        <f t="shared" si="1"/>
        <v>#DIV/0!</v>
      </c>
    </row>
    <row r="107" spans="2:12" ht="16.5" thickBot="1" x14ac:dyDescent="0.3">
      <c r="B107" s="86">
        <v>97</v>
      </c>
      <c r="C107" s="87"/>
      <c r="D107" s="87"/>
      <c r="E107" s="87"/>
      <c r="F107" s="87"/>
      <c r="G107" s="87"/>
      <c r="H107" s="87"/>
      <c r="I107" s="87"/>
      <c r="J107" s="87"/>
      <c r="K107" s="87"/>
      <c r="L107" s="86" t="e">
        <f t="shared" si="1"/>
        <v>#DIV/0!</v>
      </c>
    </row>
    <row r="108" spans="2:12" ht="16.5" thickBot="1" x14ac:dyDescent="0.3">
      <c r="B108" s="86">
        <v>98</v>
      </c>
      <c r="C108" s="87"/>
      <c r="D108" s="87"/>
      <c r="E108" s="87"/>
      <c r="F108" s="87"/>
      <c r="G108" s="87"/>
      <c r="H108" s="87"/>
      <c r="I108" s="87"/>
      <c r="J108" s="87"/>
      <c r="K108" s="87"/>
      <c r="L108" s="86" t="e">
        <f t="shared" si="1"/>
        <v>#DIV/0!</v>
      </c>
    </row>
    <row r="109" spans="2:12" ht="16.5" thickBot="1" x14ac:dyDescent="0.3">
      <c r="B109" s="86">
        <v>99</v>
      </c>
      <c r="C109" s="87"/>
      <c r="D109" s="87"/>
      <c r="E109" s="87"/>
      <c r="F109" s="87"/>
      <c r="G109" s="87"/>
      <c r="H109" s="87"/>
      <c r="I109" s="87"/>
      <c r="J109" s="87"/>
      <c r="K109" s="87"/>
      <c r="L109" s="86" t="e">
        <f t="shared" si="1"/>
        <v>#DIV/0!</v>
      </c>
    </row>
    <row r="110" spans="2:12" x14ac:dyDescent="0.25">
      <c r="B110" s="86">
        <v>100</v>
      </c>
      <c r="C110" s="87"/>
      <c r="D110" s="87"/>
      <c r="E110" s="87"/>
      <c r="F110" s="87"/>
      <c r="G110" s="87"/>
      <c r="H110" s="87"/>
      <c r="I110" s="87"/>
      <c r="J110" s="87"/>
      <c r="K110" s="87"/>
      <c r="L110" s="86" t="e">
        <f t="shared" si="1"/>
        <v>#DIV/0!</v>
      </c>
    </row>
  </sheetData>
  <mergeCells count="6">
    <mergeCell ref="B1:L1"/>
    <mergeCell ref="B2:L2"/>
    <mergeCell ref="B3:L3"/>
    <mergeCell ref="B4:L4"/>
    <mergeCell ref="E6:F6"/>
    <mergeCell ref="F9:J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D329-DF87-4AC0-94E4-79EC7BA556C7}">
  <dimension ref="A1:K120"/>
  <sheetViews>
    <sheetView topLeftCell="A7" workbookViewId="0">
      <selection activeCell="B13" sqref="B13"/>
    </sheetView>
  </sheetViews>
  <sheetFormatPr defaultColWidth="9.140625" defaultRowHeight="15.75" x14ac:dyDescent="0.25"/>
  <cols>
    <col min="1" max="1" width="14.140625" style="2" customWidth="1"/>
    <col min="2" max="2" width="12" style="2" customWidth="1"/>
    <col min="3" max="4" width="13.42578125" style="2" customWidth="1"/>
    <col min="5" max="5" width="14.5703125" style="2" customWidth="1"/>
    <col min="6" max="6" width="12" style="2" bestFit="1" customWidth="1"/>
    <col min="7" max="7" width="11.140625" style="2" bestFit="1" customWidth="1"/>
    <col min="8" max="8" width="8.42578125" style="2" bestFit="1" customWidth="1"/>
    <col min="9" max="9" width="13.7109375" style="2" bestFit="1" customWidth="1"/>
    <col min="10" max="10" width="13.85546875" style="2" bestFit="1" customWidth="1"/>
    <col min="11" max="11" width="8.42578125" style="2" bestFit="1" customWidth="1"/>
    <col min="12" max="16384" width="9.140625" style="2"/>
  </cols>
  <sheetData>
    <row r="1" spans="1:11" ht="18.75" x14ac:dyDescent="0.25">
      <c r="A1" s="88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8.75" x14ac:dyDescent="0.25">
      <c r="A2" s="88" t="s">
        <v>1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spans="1:11" x14ac:dyDescent="0.25">
      <c r="A3" s="89" t="s">
        <v>9</v>
      </c>
      <c r="B3" s="89"/>
      <c r="C3" s="89"/>
      <c r="D3" s="89"/>
      <c r="E3" s="89"/>
      <c r="F3" s="89"/>
      <c r="G3" s="89"/>
      <c r="H3" s="89"/>
      <c r="I3" s="89"/>
      <c r="J3" s="89"/>
      <c r="K3" s="89"/>
    </row>
    <row r="4" spans="1:11" x14ac:dyDescent="0.25">
      <c r="A4" s="89" t="s">
        <v>10</v>
      </c>
      <c r="B4" s="89"/>
      <c r="C4" s="89"/>
      <c r="D4" s="89"/>
      <c r="E4" s="89"/>
      <c r="F4" s="89"/>
      <c r="G4" s="89"/>
      <c r="H4" s="89"/>
      <c r="I4" s="89"/>
      <c r="J4" s="89"/>
      <c r="K4" s="89"/>
    </row>
    <row r="5" spans="1:11" ht="16.5" thickBot="1" x14ac:dyDescent="0.3"/>
    <row r="6" spans="1:11" ht="16.5" thickBot="1" x14ac:dyDescent="0.3">
      <c r="A6" s="3" t="s">
        <v>11</v>
      </c>
      <c r="B6" s="94"/>
      <c r="C6" s="95"/>
      <c r="D6" s="95"/>
      <c r="E6" s="95"/>
      <c r="F6" s="96"/>
      <c r="I6" s="5" t="s">
        <v>5</v>
      </c>
      <c r="J6" s="4"/>
    </row>
    <row r="7" spans="1:11" ht="16.5" thickBot="1" x14ac:dyDescent="0.3"/>
    <row r="8" spans="1:11" ht="16.5" thickBot="1" x14ac:dyDescent="0.3">
      <c r="A8" s="3" t="s">
        <v>12</v>
      </c>
      <c r="B8" s="94"/>
      <c r="C8" s="95"/>
      <c r="D8" s="95"/>
      <c r="E8" s="95"/>
      <c r="F8" s="96"/>
      <c r="I8" s="5" t="s">
        <v>13</v>
      </c>
      <c r="J8" s="4"/>
    </row>
    <row r="10" spans="1:11" ht="16.5" thickBot="1" x14ac:dyDescent="0.3">
      <c r="A10" s="6"/>
      <c r="B10" s="6"/>
      <c r="C10" s="6"/>
      <c r="D10" s="6"/>
      <c r="E10" s="6"/>
    </row>
    <row r="11" spans="1:11" ht="16.5" thickBot="1" x14ac:dyDescent="0.3">
      <c r="A11" s="97" t="s">
        <v>14</v>
      </c>
      <c r="B11" s="97" t="s">
        <v>15</v>
      </c>
      <c r="C11" s="97" t="s">
        <v>16</v>
      </c>
      <c r="D11" s="97" t="s">
        <v>17</v>
      </c>
      <c r="E11" s="97" t="s">
        <v>18</v>
      </c>
      <c r="F11" s="91" t="s">
        <v>19</v>
      </c>
      <c r="G11" s="92"/>
      <c r="H11" s="92"/>
      <c r="I11" s="92"/>
      <c r="J11" s="92"/>
      <c r="K11" s="93"/>
    </row>
    <row r="12" spans="1:11" ht="29.25" customHeight="1" thickBot="1" x14ac:dyDescent="0.3">
      <c r="A12" s="98"/>
      <c r="B12" s="98"/>
      <c r="C12" s="98"/>
      <c r="D12" s="99"/>
      <c r="E12" s="98"/>
      <c r="F12" s="1" t="s">
        <v>20</v>
      </c>
      <c r="G12" s="1" t="s">
        <v>21</v>
      </c>
      <c r="H12" s="7" t="s">
        <v>22</v>
      </c>
      <c r="I12" s="7" t="s">
        <v>23</v>
      </c>
      <c r="J12" s="1" t="s">
        <v>24</v>
      </c>
      <c r="K12" s="1" t="s">
        <v>25</v>
      </c>
    </row>
    <row r="13" spans="1:11" x14ac:dyDescent="0.25">
      <c r="A13" s="8">
        <v>1</v>
      </c>
      <c r="B13" s="26"/>
      <c r="C13" s="9"/>
      <c r="D13" s="10">
        <f>SUM(E13:K13)</f>
        <v>0</v>
      </c>
      <c r="E13" s="9"/>
      <c r="F13" s="26"/>
      <c r="G13" s="26"/>
      <c r="H13" s="36"/>
      <c r="I13" s="36"/>
      <c r="J13" s="26"/>
      <c r="K13" s="26"/>
    </row>
    <row r="14" spans="1:11" x14ac:dyDescent="0.25">
      <c r="A14" s="11">
        <v>2</v>
      </c>
      <c r="B14" s="35"/>
      <c r="C14" s="12"/>
      <c r="D14" s="10">
        <f t="shared" ref="D14:D77" si="0">SUM(E14:K14)</f>
        <v>0</v>
      </c>
      <c r="E14" s="12"/>
      <c r="F14" s="35"/>
      <c r="G14" s="35"/>
      <c r="H14" s="36"/>
      <c r="I14" s="36"/>
      <c r="J14" s="35"/>
      <c r="K14" s="35"/>
    </row>
    <row r="15" spans="1:11" x14ac:dyDescent="0.25">
      <c r="A15" s="11">
        <v>3</v>
      </c>
      <c r="B15" s="35"/>
      <c r="C15" s="12"/>
      <c r="D15" s="10">
        <f t="shared" si="0"/>
        <v>0</v>
      </c>
      <c r="E15" s="12"/>
      <c r="F15" s="35"/>
      <c r="G15" s="35"/>
      <c r="H15" s="36"/>
      <c r="I15" s="36"/>
      <c r="J15" s="35"/>
      <c r="K15" s="35"/>
    </row>
    <row r="16" spans="1:11" x14ac:dyDescent="0.25">
      <c r="A16" s="11">
        <v>4</v>
      </c>
      <c r="B16" s="35"/>
      <c r="C16" s="12"/>
      <c r="D16" s="10">
        <f t="shared" si="0"/>
        <v>0</v>
      </c>
      <c r="E16" s="12"/>
      <c r="F16" s="35"/>
      <c r="G16" s="35"/>
      <c r="H16" s="36"/>
      <c r="I16" s="36"/>
      <c r="J16" s="35"/>
      <c r="K16" s="35"/>
    </row>
    <row r="17" spans="1:11" x14ac:dyDescent="0.25">
      <c r="A17" s="11">
        <v>5</v>
      </c>
      <c r="B17" s="35"/>
      <c r="C17" s="12"/>
      <c r="D17" s="10">
        <f t="shared" si="0"/>
        <v>0</v>
      </c>
      <c r="E17" s="12"/>
      <c r="F17" s="35"/>
      <c r="G17" s="35"/>
      <c r="H17" s="36"/>
      <c r="I17" s="36"/>
      <c r="J17" s="35"/>
      <c r="K17" s="35"/>
    </row>
    <row r="18" spans="1:11" x14ac:dyDescent="0.25">
      <c r="A18" s="11">
        <v>6</v>
      </c>
      <c r="B18" s="35"/>
      <c r="C18" s="12"/>
      <c r="D18" s="10">
        <f t="shared" si="0"/>
        <v>0</v>
      </c>
      <c r="E18" s="12"/>
      <c r="F18" s="35"/>
      <c r="G18" s="35"/>
      <c r="H18" s="36"/>
      <c r="I18" s="36"/>
      <c r="J18" s="35"/>
      <c r="K18" s="35"/>
    </row>
    <row r="19" spans="1:11" x14ac:dyDescent="0.25">
      <c r="A19" s="11">
        <v>7</v>
      </c>
      <c r="B19" s="35"/>
      <c r="C19" s="12"/>
      <c r="D19" s="10">
        <f t="shared" si="0"/>
        <v>0</v>
      </c>
      <c r="E19" s="12"/>
      <c r="F19" s="35"/>
      <c r="G19" s="35"/>
      <c r="H19" s="36"/>
      <c r="I19" s="36"/>
      <c r="J19" s="35"/>
      <c r="K19" s="35"/>
    </row>
    <row r="20" spans="1:11" x14ac:dyDescent="0.25">
      <c r="A20" s="11">
        <v>8</v>
      </c>
      <c r="B20" s="35"/>
      <c r="C20" s="12"/>
      <c r="D20" s="10">
        <f t="shared" si="0"/>
        <v>0</v>
      </c>
      <c r="E20" s="12"/>
      <c r="F20" s="35"/>
      <c r="G20" s="35"/>
      <c r="H20" s="36"/>
      <c r="I20" s="36"/>
      <c r="J20" s="35"/>
      <c r="K20" s="35"/>
    </row>
    <row r="21" spans="1:11" x14ac:dyDescent="0.25">
      <c r="A21" s="11">
        <v>9</v>
      </c>
      <c r="B21" s="35"/>
      <c r="C21" s="12"/>
      <c r="D21" s="10">
        <f t="shared" si="0"/>
        <v>0</v>
      </c>
      <c r="E21" s="12"/>
      <c r="F21" s="35"/>
      <c r="G21" s="35"/>
      <c r="H21" s="36"/>
      <c r="I21" s="36"/>
      <c r="J21" s="35"/>
      <c r="K21" s="35"/>
    </row>
    <row r="22" spans="1:11" x14ac:dyDescent="0.25">
      <c r="A22" s="11">
        <v>10</v>
      </c>
      <c r="B22" s="35"/>
      <c r="C22" s="12"/>
      <c r="D22" s="10">
        <f t="shared" si="0"/>
        <v>0</v>
      </c>
      <c r="E22" s="12"/>
      <c r="F22" s="35"/>
      <c r="G22" s="35"/>
      <c r="H22" s="36"/>
      <c r="I22" s="36"/>
      <c r="J22" s="35"/>
      <c r="K22" s="35"/>
    </row>
    <row r="23" spans="1:11" x14ac:dyDescent="0.25">
      <c r="A23" s="11">
        <v>11</v>
      </c>
      <c r="B23" s="35"/>
      <c r="C23" s="12"/>
      <c r="D23" s="10">
        <f t="shared" si="0"/>
        <v>0</v>
      </c>
      <c r="E23" s="12"/>
      <c r="F23" s="35"/>
      <c r="G23" s="35"/>
      <c r="H23" s="36"/>
      <c r="I23" s="36"/>
      <c r="J23" s="35"/>
      <c r="K23" s="35"/>
    </row>
    <row r="24" spans="1:11" x14ac:dyDescent="0.25">
      <c r="A24" s="11">
        <v>12</v>
      </c>
      <c r="B24" s="35"/>
      <c r="C24" s="12"/>
      <c r="D24" s="10">
        <f t="shared" si="0"/>
        <v>0</v>
      </c>
      <c r="E24" s="12"/>
      <c r="F24" s="35"/>
      <c r="G24" s="35"/>
      <c r="H24" s="36"/>
      <c r="I24" s="36"/>
      <c r="J24" s="35"/>
      <c r="K24" s="35"/>
    </row>
    <row r="25" spans="1:11" x14ac:dyDescent="0.25">
      <c r="A25" s="11">
        <v>13</v>
      </c>
      <c r="B25" s="35"/>
      <c r="C25" s="12"/>
      <c r="D25" s="10">
        <f t="shared" si="0"/>
        <v>0</v>
      </c>
      <c r="E25" s="12"/>
      <c r="F25" s="35"/>
      <c r="G25" s="35"/>
      <c r="H25" s="36"/>
      <c r="I25" s="36"/>
      <c r="J25" s="35"/>
      <c r="K25" s="35"/>
    </row>
    <row r="26" spans="1:11" x14ac:dyDescent="0.25">
      <c r="A26" s="11">
        <v>14</v>
      </c>
      <c r="B26" s="35"/>
      <c r="C26" s="12"/>
      <c r="D26" s="10">
        <f t="shared" si="0"/>
        <v>0</v>
      </c>
      <c r="E26" s="12"/>
      <c r="F26" s="35"/>
      <c r="G26" s="35"/>
      <c r="H26" s="36"/>
      <c r="I26" s="36"/>
      <c r="J26" s="35"/>
      <c r="K26" s="35"/>
    </row>
    <row r="27" spans="1:11" x14ac:dyDescent="0.25">
      <c r="A27" s="11">
        <v>15</v>
      </c>
      <c r="B27" s="35"/>
      <c r="C27" s="12"/>
      <c r="D27" s="10">
        <f t="shared" si="0"/>
        <v>0</v>
      </c>
      <c r="E27" s="12"/>
      <c r="F27" s="35"/>
      <c r="G27" s="35"/>
      <c r="H27" s="36"/>
      <c r="I27" s="36"/>
      <c r="J27" s="35"/>
      <c r="K27" s="35"/>
    </row>
    <row r="28" spans="1:11" x14ac:dyDescent="0.25">
      <c r="A28" s="11">
        <v>16</v>
      </c>
      <c r="B28" s="35"/>
      <c r="C28" s="12"/>
      <c r="D28" s="10">
        <f t="shared" si="0"/>
        <v>0</v>
      </c>
      <c r="E28" s="12"/>
      <c r="F28" s="35"/>
      <c r="G28" s="35"/>
      <c r="H28" s="36"/>
      <c r="I28" s="36"/>
      <c r="J28" s="35"/>
      <c r="K28" s="35"/>
    </row>
    <row r="29" spans="1:11" x14ac:dyDescent="0.25">
      <c r="A29" s="11">
        <v>17</v>
      </c>
      <c r="B29" s="35"/>
      <c r="C29" s="12"/>
      <c r="D29" s="10">
        <f t="shared" si="0"/>
        <v>0</v>
      </c>
      <c r="E29" s="12"/>
      <c r="F29" s="35"/>
      <c r="G29" s="35"/>
      <c r="H29" s="36"/>
      <c r="I29" s="36"/>
      <c r="J29" s="35"/>
      <c r="K29" s="35"/>
    </row>
    <row r="30" spans="1:11" x14ac:dyDescent="0.25">
      <c r="A30" s="11">
        <v>18</v>
      </c>
      <c r="B30" s="35"/>
      <c r="C30" s="12"/>
      <c r="D30" s="10">
        <f t="shared" si="0"/>
        <v>0</v>
      </c>
      <c r="E30" s="12"/>
      <c r="F30" s="35"/>
      <c r="G30" s="35"/>
      <c r="H30" s="36"/>
      <c r="I30" s="36"/>
      <c r="J30" s="35"/>
      <c r="K30" s="35"/>
    </row>
    <row r="31" spans="1:11" x14ac:dyDescent="0.25">
      <c r="A31" s="11">
        <v>19</v>
      </c>
      <c r="B31" s="35"/>
      <c r="C31" s="12"/>
      <c r="D31" s="10">
        <f t="shared" si="0"/>
        <v>0</v>
      </c>
      <c r="E31" s="12"/>
      <c r="F31" s="35"/>
      <c r="G31" s="35"/>
      <c r="H31" s="36"/>
      <c r="I31" s="36"/>
      <c r="J31" s="35"/>
      <c r="K31" s="35"/>
    </row>
    <row r="32" spans="1:11" x14ac:dyDescent="0.25">
      <c r="A32" s="11">
        <v>20</v>
      </c>
      <c r="B32" s="35"/>
      <c r="C32" s="12"/>
      <c r="D32" s="10">
        <f t="shared" si="0"/>
        <v>0</v>
      </c>
      <c r="E32" s="12"/>
      <c r="F32" s="35"/>
      <c r="G32" s="35"/>
      <c r="H32" s="36"/>
      <c r="I32" s="36"/>
      <c r="J32" s="35"/>
      <c r="K32" s="35"/>
    </row>
    <row r="33" spans="1:11" x14ac:dyDescent="0.25">
      <c r="A33" s="11">
        <v>21</v>
      </c>
      <c r="B33" s="35"/>
      <c r="C33" s="12"/>
      <c r="D33" s="10">
        <f t="shared" si="0"/>
        <v>0</v>
      </c>
      <c r="E33" s="12"/>
      <c r="F33" s="35"/>
      <c r="G33" s="35"/>
      <c r="H33" s="36"/>
      <c r="I33" s="36"/>
      <c r="J33" s="35"/>
      <c r="K33" s="35"/>
    </row>
    <row r="34" spans="1:11" x14ac:dyDescent="0.25">
      <c r="A34" s="11">
        <v>22</v>
      </c>
      <c r="B34" s="35"/>
      <c r="C34" s="12"/>
      <c r="D34" s="10">
        <f t="shared" si="0"/>
        <v>0</v>
      </c>
      <c r="E34" s="12"/>
      <c r="F34" s="35"/>
      <c r="G34" s="35"/>
      <c r="H34" s="36"/>
      <c r="I34" s="36"/>
      <c r="J34" s="35"/>
      <c r="K34" s="35"/>
    </row>
    <row r="35" spans="1:11" x14ac:dyDescent="0.25">
      <c r="A35" s="11">
        <v>23</v>
      </c>
      <c r="B35" s="35"/>
      <c r="C35" s="12"/>
      <c r="D35" s="10">
        <f t="shared" si="0"/>
        <v>0</v>
      </c>
      <c r="E35" s="12"/>
      <c r="F35" s="35"/>
      <c r="G35" s="35"/>
      <c r="H35" s="36"/>
      <c r="I35" s="36"/>
      <c r="J35" s="35"/>
      <c r="K35" s="35"/>
    </row>
    <row r="36" spans="1:11" x14ac:dyDescent="0.25">
      <c r="A36" s="11">
        <v>24</v>
      </c>
      <c r="B36" s="35"/>
      <c r="C36" s="12"/>
      <c r="D36" s="10">
        <f t="shared" si="0"/>
        <v>0</v>
      </c>
      <c r="E36" s="12"/>
      <c r="F36" s="35"/>
      <c r="G36" s="35"/>
      <c r="H36" s="36"/>
      <c r="I36" s="36"/>
      <c r="J36" s="35"/>
      <c r="K36" s="35"/>
    </row>
    <row r="37" spans="1:11" x14ac:dyDescent="0.25">
      <c r="A37" s="11">
        <v>25</v>
      </c>
      <c r="B37" s="35"/>
      <c r="C37" s="12"/>
      <c r="D37" s="10">
        <f t="shared" si="0"/>
        <v>0</v>
      </c>
      <c r="E37" s="12"/>
      <c r="F37" s="35"/>
      <c r="G37" s="35"/>
      <c r="H37" s="36"/>
      <c r="I37" s="36"/>
      <c r="J37" s="35"/>
      <c r="K37" s="35"/>
    </row>
    <row r="38" spans="1:11" x14ac:dyDescent="0.25">
      <c r="A38" s="11">
        <v>26</v>
      </c>
      <c r="B38" s="35"/>
      <c r="C38" s="12"/>
      <c r="D38" s="10">
        <f t="shared" si="0"/>
        <v>0</v>
      </c>
      <c r="E38" s="12"/>
      <c r="F38" s="35"/>
      <c r="G38" s="35"/>
      <c r="H38" s="36"/>
      <c r="I38" s="36"/>
      <c r="J38" s="35"/>
      <c r="K38" s="35"/>
    </row>
    <row r="39" spans="1:11" x14ac:dyDescent="0.25">
      <c r="A39" s="11">
        <v>27</v>
      </c>
      <c r="B39" s="35"/>
      <c r="C39" s="12"/>
      <c r="D39" s="10">
        <f t="shared" si="0"/>
        <v>0</v>
      </c>
      <c r="E39" s="12"/>
      <c r="F39" s="35"/>
      <c r="G39" s="35"/>
      <c r="H39" s="36"/>
      <c r="I39" s="36"/>
      <c r="J39" s="35"/>
      <c r="K39" s="35"/>
    </row>
    <row r="40" spans="1:11" x14ac:dyDescent="0.25">
      <c r="A40" s="11">
        <v>28</v>
      </c>
      <c r="B40" s="35"/>
      <c r="C40" s="12"/>
      <c r="D40" s="10">
        <f t="shared" si="0"/>
        <v>0</v>
      </c>
      <c r="E40" s="12"/>
      <c r="F40" s="35"/>
      <c r="G40" s="35"/>
      <c r="H40" s="36"/>
      <c r="I40" s="36"/>
      <c r="J40" s="35"/>
      <c r="K40" s="35"/>
    </row>
    <row r="41" spans="1:11" x14ac:dyDescent="0.25">
      <c r="A41" s="11">
        <v>29</v>
      </c>
      <c r="B41" s="35"/>
      <c r="C41" s="12"/>
      <c r="D41" s="10">
        <f t="shared" si="0"/>
        <v>0</v>
      </c>
      <c r="E41" s="12"/>
      <c r="F41" s="35"/>
      <c r="G41" s="35"/>
      <c r="H41" s="36"/>
      <c r="I41" s="36"/>
      <c r="J41" s="35"/>
      <c r="K41" s="35"/>
    </row>
    <row r="42" spans="1:11" x14ac:dyDescent="0.25">
      <c r="A42" s="11">
        <v>30</v>
      </c>
      <c r="B42" s="35"/>
      <c r="C42" s="12"/>
      <c r="D42" s="10">
        <f t="shared" si="0"/>
        <v>0</v>
      </c>
      <c r="E42" s="12"/>
      <c r="F42" s="35"/>
      <c r="G42" s="35"/>
      <c r="H42" s="36"/>
      <c r="I42" s="36"/>
      <c r="J42" s="35"/>
      <c r="K42" s="35"/>
    </row>
    <row r="43" spans="1:11" x14ac:dyDescent="0.25">
      <c r="A43" s="11">
        <v>31</v>
      </c>
      <c r="B43" s="35"/>
      <c r="C43" s="12"/>
      <c r="D43" s="10">
        <f t="shared" si="0"/>
        <v>0</v>
      </c>
      <c r="E43" s="12"/>
      <c r="F43" s="35"/>
      <c r="G43" s="35"/>
      <c r="H43" s="36"/>
      <c r="I43" s="36"/>
      <c r="J43" s="35"/>
      <c r="K43" s="35"/>
    </row>
    <row r="44" spans="1:11" x14ac:dyDescent="0.25">
      <c r="A44" s="11">
        <v>32</v>
      </c>
      <c r="B44" s="35"/>
      <c r="C44" s="12"/>
      <c r="D44" s="10">
        <f t="shared" si="0"/>
        <v>0</v>
      </c>
      <c r="E44" s="12"/>
      <c r="F44" s="35"/>
      <c r="G44" s="35"/>
      <c r="H44" s="36"/>
      <c r="I44" s="36"/>
      <c r="J44" s="35"/>
      <c r="K44" s="35"/>
    </row>
    <row r="45" spans="1:11" x14ac:dyDescent="0.25">
      <c r="A45" s="11">
        <v>33</v>
      </c>
      <c r="B45" s="35"/>
      <c r="C45" s="12"/>
      <c r="D45" s="10">
        <f t="shared" si="0"/>
        <v>0</v>
      </c>
      <c r="E45" s="12"/>
      <c r="F45" s="35"/>
      <c r="G45" s="35"/>
      <c r="H45" s="36"/>
      <c r="I45" s="36"/>
      <c r="J45" s="35"/>
      <c r="K45" s="35"/>
    </row>
    <row r="46" spans="1:11" x14ac:dyDescent="0.25">
      <c r="A46" s="11">
        <v>34</v>
      </c>
      <c r="B46" s="35"/>
      <c r="C46" s="12"/>
      <c r="D46" s="10">
        <f t="shared" si="0"/>
        <v>0</v>
      </c>
      <c r="E46" s="12"/>
      <c r="F46" s="35"/>
      <c r="G46" s="35"/>
      <c r="H46" s="36"/>
      <c r="I46" s="36"/>
      <c r="J46" s="35"/>
      <c r="K46" s="35"/>
    </row>
    <row r="47" spans="1:11" x14ac:dyDescent="0.25">
      <c r="A47" s="11">
        <v>35</v>
      </c>
      <c r="B47" s="35"/>
      <c r="C47" s="12"/>
      <c r="D47" s="10">
        <f t="shared" si="0"/>
        <v>0</v>
      </c>
      <c r="E47" s="12"/>
      <c r="F47" s="35"/>
      <c r="G47" s="35"/>
      <c r="H47" s="36"/>
      <c r="I47" s="36"/>
      <c r="J47" s="35"/>
      <c r="K47" s="35"/>
    </row>
    <row r="48" spans="1:11" x14ac:dyDescent="0.25">
      <c r="A48" s="11">
        <v>36</v>
      </c>
      <c r="B48" s="35"/>
      <c r="C48" s="12"/>
      <c r="D48" s="10">
        <f t="shared" si="0"/>
        <v>0</v>
      </c>
      <c r="E48" s="12"/>
      <c r="F48" s="35"/>
      <c r="G48" s="35"/>
      <c r="H48" s="36"/>
      <c r="I48" s="36"/>
      <c r="J48" s="35"/>
      <c r="K48" s="35"/>
    </row>
    <row r="49" spans="1:11" x14ac:dyDescent="0.25">
      <c r="A49" s="11">
        <v>37</v>
      </c>
      <c r="B49" s="35"/>
      <c r="C49" s="12"/>
      <c r="D49" s="10">
        <f t="shared" si="0"/>
        <v>0</v>
      </c>
      <c r="E49" s="12"/>
      <c r="F49" s="35"/>
      <c r="G49" s="35"/>
      <c r="H49" s="36"/>
      <c r="I49" s="36"/>
      <c r="J49" s="35"/>
      <c r="K49" s="35"/>
    </row>
    <row r="50" spans="1:11" x14ac:dyDescent="0.25">
      <c r="A50" s="11">
        <v>38</v>
      </c>
      <c r="B50" s="35"/>
      <c r="C50" s="12"/>
      <c r="D50" s="10">
        <f t="shared" si="0"/>
        <v>0</v>
      </c>
      <c r="E50" s="12"/>
      <c r="F50" s="35"/>
      <c r="G50" s="35"/>
      <c r="H50" s="36"/>
      <c r="I50" s="36"/>
      <c r="J50" s="35"/>
      <c r="K50" s="35"/>
    </row>
    <row r="51" spans="1:11" x14ac:dyDescent="0.25">
      <c r="A51" s="11">
        <v>39</v>
      </c>
      <c r="B51" s="35"/>
      <c r="C51" s="12"/>
      <c r="D51" s="10">
        <f t="shared" si="0"/>
        <v>0</v>
      </c>
      <c r="E51" s="12"/>
      <c r="F51" s="35"/>
      <c r="G51" s="35"/>
      <c r="H51" s="36"/>
      <c r="I51" s="36"/>
      <c r="J51" s="35"/>
      <c r="K51" s="35"/>
    </row>
    <row r="52" spans="1:11" x14ac:dyDescent="0.25">
      <c r="A52" s="11">
        <v>40</v>
      </c>
      <c r="B52" s="35"/>
      <c r="C52" s="12"/>
      <c r="D52" s="10">
        <f t="shared" si="0"/>
        <v>0</v>
      </c>
      <c r="E52" s="12"/>
      <c r="F52" s="35"/>
      <c r="G52" s="35"/>
      <c r="H52" s="36"/>
      <c r="I52" s="36"/>
      <c r="J52" s="35"/>
      <c r="K52" s="35"/>
    </row>
    <row r="53" spans="1:11" x14ac:dyDescent="0.25">
      <c r="A53" s="11">
        <v>41</v>
      </c>
      <c r="B53" s="35"/>
      <c r="C53" s="12"/>
      <c r="D53" s="10">
        <f t="shared" si="0"/>
        <v>0</v>
      </c>
      <c r="E53" s="12"/>
      <c r="F53" s="35"/>
      <c r="G53" s="35"/>
      <c r="H53" s="36"/>
      <c r="I53" s="36"/>
      <c r="J53" s="35"/>
      <c r="K53" s="35"/>
    </row>
    <row r="54" spans="1:11" x14ac:dyDescent="0.25">
      <c r="A54" s="11">
        <v>42</v>
      </c>
      <c r="B54" s="35"/>
      <c r="C54" s="12"/>
      <c r="D54" s="10">
        <f t="shared" si="0"/>
        <v>0</v>
      </c>
      <c r="E54" s="12"/>
      <c r="F54" s="35"/>
      <c r="G54" s="35"/>
      <c r="H54" s="36"/>
      <c r="I54" s="36"/>
      <c r="J54" s="35"/>
      <c r="K54" s="35"/>
    </row>
    <row r="55" spans="1:11" x14ac:dyDescent="0.25">
      <c r="A55" s="11">
        <v>43</v>
      </c>
      <c r="B55" s="35"/>
      <c r="C55" s="12"/>
      <c r="D55" s="10">
        <f t="shared" si="0"/>
        <v>0</v>
      </c>
      <c r="E55" s="12"/>
      <c r="F55" s="35"/>
      <c r="G55" s="35"/>
      <c r="H55" s="36"/>
      <c r="I55" s="36"/>
      <c r="J55" s="35"/>
      <c r="K55" s="35"/>
    </row>
    <row r="56" spans="1:11" x14ac:dyDescent="0.25">
      <c r="A56" s="11">
        <v>44</v>
      </c>
      <c r="B56" s="35"/>
      <c r="C56" s="12"/>
      <c r="D56" s="10">
        <f t="shared" si="0"/>
        <v>0</v>
      </c>
      <c r="E56" s="12"/>
      <c r="F56" s="35"/>
      <c r="G56" s="35"/>
      <c r="H56" s="36"/>
      <c r="I56" s="36"/>
      <c r="J56" s="35"/>
      <c r="K56" s="35"/>
    </row>
    <row r="57" spans="1:11" x14ac:dyDescent="0.25">
      <c r="A57" s="11">
        <v>45</v>
      </c>
      <c r="B57" s="35"/>
      <c r="C57" s="12"/>
      <c r="D57" s="10">
        <f t="shared" si="0"/>
        <v>0</v>
      </c>
      <c r="E57" s="12"/>
      <c r="F57" s="35"/>
      <c r="G57" s="35"/>
      <c r="H57" s="36"/>
      <c r="I57" s="36"/>
      <c r="J57" s="35"/>
      <c r="K57" s="35"/>
    </row>
    <row r="58" spans="1:11" x14ac:dyDescent="0.25">
      <c r="A58" s="11">
        <v>46</v>
      </c>
      <c r="B58" s="35"/>
      <c r="C58" s="12"/>
      <c r="D58" s="10">
        <f t="shared" si="0"/>
        <v>0</v>
      </c>
      <c r="E58" s="12"/>
      <c r="F58" s="35"/>
      <c r="G58" s="35"/>
      <c r="H58" s="36"/>
      <c r="I58" s="36"/>
      <c r="J58" s="35"/>
      <c r="K58" s="35"/>
    </row>
    <row r="59" spans="1:11" x14ac:dyDescent="0.25">
      <c r="A59" s="11">
        <v>47</v>
      </c>
      <c r="B59" s="35"/>
      <c r="C59" s="12"/>
      <c r="D59" s="10">
        <f t="shared" si="0"/>
        <v>0</v>
      </c>
      <c r="E59" s="12"/>
      <c r="F59" s="35"/>
      <c r="G59" s="35"/>
      <c r="H59" s="36"/>
      <c r="I59" s="36"/>
      <c r="J59" s="35"/>
      <c r="K59" s="35"/>
    </row>
    <row r="60" spans="1:11" x14ac:dyDescent="0.25">
      <c r="A60" s="11">
        <v>48</v>
      </c>
      <c r="B60" s="35"/>
      <c r="C60" s="12"/>
      <c r="D60" s="10">
        <f t="shared" si="0"/>
        <v>0</v>
      </c>
      <c r="E60" s="12"/>
      <c r="F60" s="35"/>
      <c r="G60" s="35"/>
      <c r="H60" s="36"/>
      <c r="I60" s="36"/>
      <c r="J60" s="35"/>
      <c r="K60" s="35"/>
    </row>
    <row r="61" spans="1:11" x14ac:dyDescent="0.25">
      <c r="A61" s="11">
        <v>49</v>
      </c>
      <c r="B61" s="35"/>
      <c r="C61" s="12"/>
      <c r="D61" s="10">
        <f t="shared" si="0"/>
        <v>0</v>
      </c>
      <c r="E61" s="12"/>
      <c r="F61" s="35"/>
      <c r="G61" s="35"/>
      <c r="H61" s="36"/>
      <c r="I61" s="36"/>
      <c r="J61" s="35"/>
      <c r="K61" s="35"/>
    </row>
    <row r="62" spans="1:11" x14ac:dyDescent="0.25">
      <c r="A62" s="11">
        <v>50</v>
      </c>
      <c r="B62" s="35"/>
      <c r="C62" s="12"/>
      <c r="D62" s="10">
        <f t="shared" si="0"/>
        <v>0</v>
      </c>
      <c r="E62" s="12"/>
      <c r="F62" s="35"/>
      <c r="G62" s="35"/>
      <c r="H62" s="36"/>
      <c r="I62" s="36"/>
      <c r="J62" s="35"/>
      <c r="K62" s="35"/>
    </row>
    <row r="63" spans="1:11" x14ac:dyDescent="0.25">
      <c r="A63" s="11">
        <v>51</v>
      </c>
      <c r="B63" s="35"/>
      <c r="C63" s="12"/>
      <c r="D63" s="10">
        <f t="shared" si="0"/>
        <v>0</v>
      </c>
      <c r="E63" s="12"/>
      <c r="F63" s="35"/>
      <c r="G63" s="35"/>
      <c r="H63" s="36"/>
      <c r="I63" s="36"/>
      <c r="J63" s="35"/>
      <c r="K63" s="35"/>
    </row>
    <row r="64" spans="1:11" x14ac:dyDescent="0.25">
      <c r="A64" s="11">
        <v>52</v>
      </c>
      <c r="B64" s="35"/>
      <c r="C64" s="12"/>
      <c r="D64" s="10">
        <f t="shared" si="0"/>
        <v>0</v>
      </c>
      <c r="E64" s="12"/>
      <c r="F64" s="35"/>
      <c r="G64" s="35"/>
      <c r="H64" s="36"/>
      <c r="I64" s="36"/>
      <c r="J64" s="35"/>
      <c r="K64" s="35"/>
    </row>
    <row r="65" spans="1:11" x14ac:dyDescent="0.25">
      <c r="A65" s="11">
        <v>53</v>
      </c>
      <c r="B65" s="35"/>
      <c r="C65" s="12"/>
      <c r="D65" s="10">
        <f t="shared" si="0"/>
        <v>0</v>
      </c>
      <c r="E65" s="12"/>
      <c r="F65" s="35"/>
      <c r="G65" s="35"/>
      <c r="H65" s="36"/>
      <c r="I65" s="36"/>
      <c r="J65" s="35"/>
      <c r="K65" s="35"/>
    </row>
    <row r="66" spans="1:11" x14ac:dyDescent="0.25">
      <c r="A66" s="11">
        <v>54</v>
      </c>
      <c r="B66" s="35"/>
      <c r="C66" s="12"/>
      <c r="D66" s="10">
        <f t="shared" si="0"/>
        <v>0</v>
      </c>
      <c r="E66" s="12"/>
      <c r="F66" s="35"/>
      <c r="G66" s="35"/>
      <c r="H66" s="36"/>
      <c r="I66" s="36"/>
      <c r="J66" s="35"/>
      <c r="K66" s="35"/>
    </row>
    <row r="67" spans="1:11" x14ac:dyDescent="0.25">
      <c r="A67" s="11">
        <v>55</v>
      </c>
      <c r="B67" s="35"/>
      <c r="C67" s="12"/>
      <c r="D67" s="10">
        <f t="shared" si="0"/>
        <v>0</v>
      </c>
      <c r="E67" s="12"/>
      <c r="F67" s="35"/>
      <c r="G67" s="35"/>
      <c r="H67" s="36"/>
      <c r="I67" s="36"/>
      <c r="J67" s="35"/>
      <c r="K67" s="35"/>
    </row>
    <row r="68" spans="1:11" x14ac:dyDescent="0.25">
      <c r="A68" s="11">
        <v>56</v>
      </c>
      <c r="B68" s="35"/>
      <c r="C68" s="12"/>
      <c r="D68" s="10">
        <f t="shared" si="0"/>
        <v>0</v>
      </c>
      <c r="E68" s="12"/>
      <c r="F68" s="35"/>
      <c r="G68" s="35"/>
      <c r="H68" s="36"/>
      <c r="I68" s="36"/>
      <c r="J68" s="35"/>
      <c r="K68" s="35"/>
    </row>
    <row r="69" spans="1:11" x14ac:dyDescent="0.25">
      <c r="A69" s="11">
        <v>57</v>
      </c>
      <c r="B69" s="35"/>
      <c r="C69" s="12"/>
      <c r="D69" s="10">
        <f t="shared" si="0"/>
        <v>0</v>
      </c>
      <c r="E69" s="12"/>
      <c r="F69" s="35"/>
      <c r="G69" s="35"/>
      <c r="H69" s="36"/>
      <c r="I69" s="36"/>
      <c r="J69" s="35"/>
      <c r="K69" s="35"/>
    </row>
    <row r="70" spans="1:11" x14ac:dyDescent="0.25">
      <c r="A70" s="11">
        <v>58</v>
      </c>
      <c r="B70" s="35"/>
      <c r="C70" s="12"/>
      <c r="D70" s="10">
        <f t="shared" si="0"/>
        <v>0</v>
      </c>
      <c r="E70" s="12"/>
      <c r="F70" s="35"/>
      <c r="G70" s="35"/>
      <c r="H70" s="36"/>
      <c r="I70" s="36"/>
      <c r="J70" s="35"/>
      <c r="K70" s="35"/>
    </row>
    <row r="71" spans="1:11" x14ac:dyDescent="0.25">
      <c r="A71" s="11">
        <v>59</v>
      </c>
      <c r="B71" s="35"/>
      <c r="C71" s="12"/>
      <c r="D71" s="10">
        <f t="shared" si="0"/>
        <v>0</v>
      </c>
      <c r="E71" s="12"/>
      <c r="F71" s="35"/>
      <c r="G71" s="35"/>
      <c r="H71" s="36"/>
      <c r="I71" s="36"/>
      <c r="J71" s="35"/>
      <c r="K71" s="35"/>
    </row>
    <row r="72" spans="1:11" x14ac:dyDescent="0.25">
      <c r="A72" s="11">
        <v>60</v>
      </c>
      <c r="B72" s="35"/>
      <c r="C72" s="12"/>
      <c r="D72" s="10">
        <f t="shared" si="0"/>
        <v>0</v>
      </c>
      <c r="E72" s="12"/>
      <c r="F72" s="35"/>
      <c r="G72" s="35"/>
      <c r="H72" s="36"/>
      <c r="I72" s="36"/>
      <c r="J72" s="35"/>
      <c r="K72" s="35"/>
    </row>
    <row r="73" spans="1:11" x14ac:dyDescent="0.25">
      <c r="A73" s="11">
        <v>61</v>
      </c>
      <c r="B73" s="35"/>
      <c r="C73" s="12"/>
      <c r="D73" s="10">
        <f t="shared" si="0"/>
        <v>0</v>
      </c>
      <c r="E73" s="12"/>
      <c r="F73" s="35"/>
      <c r="G73" s="35"/>
      <c r="H73" s="36"/>
      <c r="I73" s="36"/>
      <c r="J73" s="35"/>
      <c r="K73" s="35"/>
    </row>
    <row r="74" spans="1:11" x14ac:dyDescent="0.25">
      <c r="A74" s="11">
        <v>62</v>
      </c>
      <c r="B74" s="35"/>
      <c r="C74" s="12"/>
      <c r="D74" s="10">
        <f t="shared" si="0"/>
        <v>0</v>
      </c>
      <c r="E74" s="12"/>
      <c r="F74" s="35"/>
      <c r="G74" s="35"/>
      <c r="H74" s="36"/>
      <c r="I74" s="36"/>
      <c r="J74" s="35"/>
      <c r="K74" s="35"/>
    </row>
    <row r="75" spans="1:11" x14ac:dyDescent="0.25">
      <c r="A75" s="11">
        <v>63</v>
      </c>
      <c r="B75" s="35"/>
      <c r="C75" s="12"/>
      <c r="D75" s="10">
        <f t="shared" si="0"/>
        <v>0</v>
      </c>
      <c r="E75" s="12"/>
      <c r="F75" s="35"/>
      <c r="G75" s="35"/>
      <c r="H75" s="36"/>
      <c r="I75" s="36"/>
      <c r="J75" s="35"/>
      <c r="K75" s="35"/>
    </row>
    <row r="76" spans="1:11" x14ac:dyDescent="0.25">
      <c r="A76" s="11">
        <v>64</v>
      </c>
      <c r="B76" s="35"/>
      <c r="C76" s="12"/>
      <c r="D76" s="10">
        <f t="shared" si="0"/>
        <v>0</v>
      </c>
      <c r="E76" s="12"/>
      <c r="F76" s="35"/>
      <c r="G76" s="35"/>
      <c r="H76" s="36"/>
      <c r="I76" s="36"/>
      <c r="J76" s="35"/>
      <c r="K76" s="35"/>
    </row>
    <row r="77" spans="1:11" x14ac:dyDescent="0.25">
      <c r="A77" s="11">
        <v>65</v>
      </c>
      <c r="B77" s="35"/>
      <c r="C77" s="12"/>
      <c r="D77" s="10">
        <f t="shared" si="0"/>
        <v>0</v>
      </c>
      <c r="E77" s="12"/>
      <c r="F77" s="35"/>
      <c r="G77" s="35"/>
      <c r="H77" s="36"/>
      <c r="I77" s="36"/>
      <c r="J77" s="35"/>
      <c r="K77" s="35"/>
    </row>
    <row r="78" spans="1:11" x14ac:dyDescent="0.25">
      <c r="A78" s="11">
        <v>66</v>
      </c>
      <c r="B78" s="35"/>
      <c r="C78" s="12"/>
      <c r="D78" s="10">
        <f t="shared" ref="D78:D112" si="1">SUM(E78:K78)</f>
        <v>0</v>
      </c>
      <c r="E78" s="12"/>
      <c r="F78" s="35"/>
      <c r="G78" s="35"/>
      <c r="H78" s="36"/>
      <c r="I78" s="36"/>
      <c r="J78" s="35"/>
      <c r="K78" s="35"/>
    </row>
    <row r="79" spans="1:11" x14ac:dyDescent="0.25">
      <c r="A79" s="11">
        <v>67</v>
      </c>
      <c r="B79" s="35"/>
      <c r="C79" s="12"/>
      <c r="D79" s="10">
        <f t="shared" si="1"/>
        <v>0</v>
      </c>
      <c r="E79" s="12"/>
      <c r="F79" s="35"/>
      <c r="G79" s="35"/>
      <c r="H79" s="36"/>
      <c r="I79" s="36"/>
      <c r="J79" s="35"/>
      <c r="K79" s="35"/>
    </row>
    <row r="80" spans="1:11" x14ac:dyDescent="0.25">
      <c r="A80" s="11">
        <v>68</v>
      </c>
      <c r="B80" s="35"/>
      <c r="C80" s="12"/>
      <c r="D80" s="10">
        <f t="shared" si="1"/>
        <v>0</v>
      </c>
      <c r="E80" s="12"/>
      <c r="F80" s="35"/>
      <c r="G80" s="35"/>
      <c r="H80" s="36"/>
      <c r="I80" s="36"/>
      <c r="J80" s="35"/>
      <c r="K80" s="35"/>
    </row>
    <row r="81" spans="1:11" x14ac:dyDescent="0.25">
      <c r="A81" s="11">
        <v>69</v>
      </c>
      <c r="B81" s="35"/>
      <c r="C81" s="12"/>
      <c r="D81" s="10">
        <f t="shared" si="1"/>
        <v>0</v>
      </c>
      <c r="E81" s="12"/>
      <c r="F81" s="35"/>
      <c r="G81" s="35"/>
      <c r="H81" s="36"/>
      <c r="I81" s="36"/>
      <c r="J81" s="35"/>
      <c r="K81" s="35"/>
    </row>
    <row r="82" spans="1:11" x14ac:dyDescent="0.25">
      <c r="A82" s="11">
        <v>70</v>
      </c>
      <c r="B82" s="35"/>
      <c r="C82" s="12"/>
      <c r="D82" s="10">
        <f t="shared" si="1"/>
        <v>0</v>
      </c>
      <c r="E82" s="12"/>
      <c r="F82" s="35"/>
      <c r="G82" s="35"/>
      <c r="H82" s="36"/>
      <c r="I82" s="36"/>
      <c r="J82" s="35"/>
      <c r="K82" s="35"/>
    </row>
    <row r="83" spans="1:11" x14ac:dyDescent="0.25">
      <c r="A83" s="11">
        <v>71</v>
      </c>
      <c r="B83" s="35"/>
      <c r="C83" s="12"/>
      <c r="D83" s="10">
        <f t="shared" si="1"/>
        <v>0</v>
      </c>
      <c r="E83" s="12"/>
      <c r="F83" s="35"/>
      <c r="G83" s="35"/>
      <c r="H83" s="36"/>
      <c r="I83" s="36"/>
      <c r="J83" s="35"/>
      <c r="K83" s="35"/>
    </row>
    <row r="84" spans="1:11" x14ac:dyDescent="0.25">
      <c r="A84" s="11">
        <v>72</v>
      </c>
      <c r="B84" s="35"/>
      <c r="C84" s="12"/>
      <c r="D84" s="10">
        <f t="shared" si="1"/>
        <v>0</v>
      </c>
      <c r="E84" s="12"/>
      <c r="F84" s="35"/>
      <c r="G84" s="35"/>
      <c r="H84" s="36"/>
      <c r="I84" s="36"/>
      <c r="J84" s="35"/>
      <c r="K84" s="35"/>
    </row>
    <row r="85" spans="1:11" x14ac:dyDescent="0.25">
      <c r="A85" s="11">
        <v>73</v>
      </c>
      <c r="B85" s="35"/>
      <c r="C85" s="12"/>
      <c r="D85" s="10">
        <f t="shared" si="1"/>
        <v>0</v>
      </c>
      <c r="E85" s="12"/>
      <c r="F85" s="35"/>
      <c r="G85" s="35"/>
      <c r="H85" s="36"/>
      <c r="I85" s="36"/>
      <c r="J85" s="35"/>
      <c r="K85" s="35"/>
    </row>
    <row r="86" spans="1:11" x14ac:dyDescent="0.25">
      <c r="A86" s="11">
        <v>74</v>
      </c>
      <c r="B86" s="35"/>
      <c r="C86" s="12"/>
      <c r="D86" s="10">
        <f t="shared" si="1"/>
        <v>0</v>
      </c>
      <c r="E86" s="12"/>
      <c r="F86" s="35"/>
      <c r="G86" s="35"/>
      <c r="H86" s="36"/>
      <c r="I86" s="36"/>
      <c r="J86" s="35"/>
      <c r="K86" s="35"/>
    </row>
    <row r="87" spans="1:11" x14ac:dyDescent="0.25">
      <c r="A87" s="11">
        <v>75</v>
      </c>
      <c r="B87" s="35"/>
      <c r="C87" s="12"/>
      <c r="D87" s="10">
        <f t="shared" si="1"/>
        <v>0</v>
      </c>
      <c r="E87" s="12"/>
      <c r="F87" s="35"/>
      <c r="G87" s="35"/>
      <c r="H87" s="36"/>
      <c r="I87" s="36"/>
      <c r="J87" s="35"/>
      <c r="K87" s="35"/>
    </row>
    <row r="88" spans="1:11" x14ac:dyDescent="0.25">
      <c r="A88" s="11">
        <v>76</v>
      </c>
      <c r="B88" s="35"/>
      <c r="C88" s="12"/>
      <c r="D88" s="10">
        <f t="shared" si="1"/>
        <v>0</v>
      </c>
      <c r="E88" s="12"/>
      <c r="F88" s="35"/>
      <c r="G88" s="35"/>
      <c r="H88" s="36"/>
      <c r="I88" s="36"/>
      <c r="J88" s="35"/>
      <c r="K88" s="35"/>
    </row>
    <row r="89" spans="1:11" x14ac:dyDescent="0.25">
      <c r="A89" s="11">
        <v>77</v>
      </c>
      <c r="B89" s="35"/>
      <c r="C89" s="12"/>
      <c r="D89" s="10">
        <f t="shared" si="1"/>
        <v>0</v>
      </c>
      <c r="E89" s="12"/>
      <c r="F89" s="35"/>
      <c r="G89" s="35"/>
      <c r="H89" s="36"/>
      <c r="I89" s="36"/>
      <c r="J89" s="35"/>
      <c r="K89" s="35"/>
    </row>
    <row r="90" spans="1:11" x14ac:dyDescent="0.25">
      <c r="A90" s="11">
        <v>78</v>
      </c>
      <c r="B90" s="35"/>
      <c r="C90" s="12"/>
      <c r="D90" s="10">
        <f t="shared" si="1"/>
        <v>0</v>
      </c>
      <c r="E90" s="12"/>
      <c r="F90" s="35"/>
      <c r="G90" s="35"/>
      <c r="H90" s="36"/>
      <c r="I90" s="36"/>
      <c r="J90" s="35"/>
      <c r="K90" s="35"/>
    </row>
    <row r="91" spans="1:11" x14ac:dyDescent="0.25">
      <c r="A91" s="11">
        <v>79</v>
      </c>
      <c r="B91" s="35"/>
      <c r="C91" s="12"/>
      <c r="D91" s="10">
        <f t="shared" si="1"/>
        <v>0</v>
      </c>
      <c r="E91" s="12"/>
      <c r="F91" s="35"/>
      <c r="G91" s="35"/>
      <c r="H91" s="36"/>
      <c r="I91" s="36"/>
      <c r="J91" s="35"/>
      <c r="K91" s="35"/>
    </row>
    <row r="92" spans="1:11" x14ac:dyDescent="0.25">
      <c r="A92" s="11">
        <v>80</v>
      </c>
      <c r="B92" s="35"/>
      <c r="C92" s="12"/>
      <c r="D92" s="10">
        <f t="shared" si="1"/>
        <v>0</v>
      </c>
      <c r="E92" s="12"/>
      <c r="F92" s="35"/>
      <c r="G92" s="35"/>
      <c r="H92" s="36"/>
      <c r="I92" s="36"/>
      <c r="J92" s="35"/>
      <c r="K92" s="35"/>
    </row>
    <row r="93" spans="1:11" x14ac:dyDescent="0.25">
      <c r="A93" s="11">
        <v>81</v>
      </c>
      <c r="B93" s="35"/>
      <c r="C93" s="12"/>
      <c r="D93" s="10">
        <f t="shared" si="1"/>
        <v>0</v>
      </c>
      <c r="E93" s="12"/>
      <c r="F93" s="35"/>
      <c r="G93" s="35"/>
      <c r="H93" s="36"/>
      <c r="I93" s="36"/>
      <c r="J93" s="35"/>
      <c r="K93" s="35"/>
    </row>
    <row r="94" spans="1:11" x14ac:dyDescent="0.25">
      <c r="A94" s="11">
        <v>82</v>
      </c>
      <c r="B94" s="35"/>
      <c r="C94" s="12"/>
      <c r="D94" s="10">
        <f t="shared" si="1"/>
        <v>0</v>
      </c>
      <c r="E94" s="12"/>
      <c r="F94" s="35"/>
      <c r="G94" s="35"/>
      <c r="H94" s="36"/>
      <c r="I94" s="36"/>
      <c r="J94" s="35"/>
      <c r="K94" s="35"/>
    </row>
    <row r="95" spans="1:11" x14ac:dyDescent="0.25">
      <c r="A95" s="11">
        <v>83</v>
      </c>
      <c r="B95" s="35"/>
      <c r="C95" s="12"/>
      <c r="D95" s="10">
        <f t="shared" si="1"/>
        <v>0</v>
      </c>
      <c r="E95" s="12"/>
      <c r="F95" s="35"/>
      <c r="G95" s="35"/>
      <c r="H95" s="36"/>
      <c r="I95" s="36"/>
      <c r="J95" s="35"/>
      <c r="K95" s="35"/>
    </row>
    <row r="96" spans="1:11" x14ac:dyDescent="0.25">
      <c r="A96" s="11">
        <v>84</v>
      </c>
      <c r="B96" s="35"/>
      <c r="C96" s="12"/>
      <c r="D96" s="10">
        <f t="shared" si="1"/>
        <v>0</v>
      </c>
      <c r="E96" s="12"/>
      <c r="F96" s="35"/>
      <c r="G96" s="35"/>
      <c r="H96" s="36"/>
      <c r="I96" s="36"/>
      <c r="J96" s="35"/>
      <c r="K96" s="35"/>
    </row>
    <row r="97" spans="1:11" x14ac:dyDescent="0.25">
      <c r="A97" s="11">
        <v>85</v>
      </c>
      <c r="B97" s="35"/>
      <c r="C97" s="12"/>
      <c r="D97" s="10">
        <f t="shared" si="1"/>
        <v>0</v>
      </c>
      <c r="E97" s="12"/>
      <c r="F97" s="35"/>
      <c r="G97" s="35"/>
      <c r="H97" s="36"/>
      <c r="I97" s="36"/>
      <c r="J97" s="35"/>
      <c r="K97" s="35"/>
    </row>
    <row r="98" spans="1:11" x14ac:dyDescent="0.25">
      <c r="A98" s="11">
        <v>86</v>
      </c>
      <c r="B98" s="35"/>
      <c r="C98" s="12"/>
      <c r="D98" s="10">
        <f t="shared" si="1"/>
        <v>0</v>
      </c>
      <c r="E98" s="12"/>
      <c r="F98" s="35"/>
      <c r="G98" s="35"/>
      <c r="H98" s="36"/>
      <c r="I98" s="36"/>
      <c r="J98" s="35"/>
      <c r="K98" s="35"/>
    </row>
    <row r="99" spans="1:11" x14ac:dyDescent="0.25">
      <c r="A99" s="11">
        <v>87</v>
      </c>
      <c r="B99" s="35"/>
      <c r="C99" s="12"/>
      <c r="D99" s="10">
        <f t="shared" si="1"/>
        <v>0</v>
      </c>
      <c r="E99" s="12"/>
      <c r="F99" s="35"/>
      <c r="G99" s="35"/>
      <c r="H99" s="36"/>
      <c r="I99" s="36"/>
      <c r="J99" s="35"/>
      <c r="K99" s="35"/>
    </row>
    <row r="100" spans="1:11" x14ac:dyDescent="0.25">
      <c r="A100" s="11">
        <v>88</v>
      </c>
      <c r="B100" s="35"/>
      <c r="C100" s="12"/>
      <c r="D100" s="10">
        <f t="shared" si="1"/>
        <v>0</v>
      </c>
      <c r="E100" s="12"/>
      <c r="F100" s="35"/>
      <c r="G100" s="35"/>
      <c r="H100" s="36"/>
      <c r="I100" s="36"/>
      <c r="J100" s="35"/>
      <c r="K100" s="35"/>
    </row>
    <row r="101" spans="1:11" x14ac:dyDescent="0.25">
      <c r="A101" s="11">
        <v>89</v>
      </c>
      <c r="B101" s="35"/>
      <c r="C101" s="12"/>
      <c r="D101" s="10">
        <f t="shared" si="1"/>
        <v>0</v>
      </c>
      <c r="E101" s="12"/>
      <c r="F101" s="35"/>
      <c r="G101" s="35"/>
      <c r="H101" s="36"/>
      <c r="I101" s="36"/>
      <c r="J101" s="35"/>
      <c r="K101" s="35"/>
    </row>
    <row r="102" spans="1:11" x14ac:dyDescent="0.25">
      <c r="A102" s="11">
        <v>90</v>
      </c>
      <c r="B102" s="35"/>
      <c r="C102" s="12"/>
      <c r="D102" s="10">
        <f t="shared" si="1"/>
        <v>0</v>
      </c>
      <c r="E102" s="12"/>
      <c r="F102" s="35"/>
      <c r="G102" s="35"/>
      <c r="H102" s="36"/>
      <c r="I102" s="36"/>
      <c r="J102" s="35"/>
      <c r="K102" s="35"/>
    </row>
    <row r="103" spans="1:11" x14ac:dyDescent="0.25">
      <c r="A103" s="11">
        <v>91</v>
      </c>
      <c r="B103" s="35"/>
      <c r="C103" s="12"/>
      <c r="D103" s="10">
        <f t="shared" si="1"/>
        <v>0</v>
      </c>
      <c r="E103" s="12"/>
      <c r="F103" s="35"/>
      <c r="G103" s="35"/>
      <c r="H103" s="36"/>
      <c r="I103" s="36"/>
      <c r="J103" s="35"/>
      <c r="K103" s="35"/>
    </row>
    <row r="104" spans="1:11" x14ac:dyDescent="0.25">
      <c r="A104" s="11">
        <v>92</v>
      </c>
      <c r="B104" s="35"/>
      <c r="C104" s="12"/>
      <c r="D104" s="10">
        <f t="shared" si="1"/>
        <v>0</v>
      </c>
      <c r="E104" s="12"/>
      <c r="F104" s="35"/>
      <c r="G104" s="35"/>
      <c r="H104" s="36"/>
      <c r="I104" s="36"/>
      <c r="J104" s="35"/>
      <c r="K104" s="35"/>
    </row>
    <row r="105" spans="1:11" x14ac:dyDescent="0.25">
      <c r="A105" s="11">
        <v>93</v>
      </c>
      <c r="B105" s="35"/>
      <c r="C105" s="12"/>
      <c r="D105" s="10">
        <f t="shared" si="1"/>
        <v>0</v>
      </c>
      <c r="E105" s="12"/>
      <c r="F105" s="35"/>
      <c r="G105" s="35"/>
      <c r="H105" s="36"/>
      <c r="I105" s="36"/>
      <c r="J105" s="35"/>
      <c r="K105" s="35"/>
    </row>
    <row r="106" spans="1:11" x14ac:dyDescent="0.25">
      <c r="A106" s="11">
        <v>94</v>
      </c>
      <c r="B106" s="35"/>
      <c r="C106" s="12"/>
      <c r="D106" s="10">
        <f t="shared" si="1"/>
        <v>0</v>
      </c>
      <c r="E106" s="12"/>
      <c r="F106" s="35"/>
      <c r="G106" s="35"/>
      <c r="H106" s="36"/>
      <c r="I106" s="36"/>
      <c r="J106" s="35"/>
      <c r="K106" s="35"/>
    </row>
    <row r="107" spans="1:11" x14ac:dyDescent="0.25">
      <c r="A107" s="11">
        <v>95</v>
      </c>
      <c r="B107" s="35"/>
      <c r="C107" s="12"/>
      <c r="D107" s="10">
        <f t="shared" si="1"/>
        <v>0</v>
      </c>
      <c r="E107" s="12"/>
      <c r="F107" s="35"/>
      <c r="G107" s="35"/>
      <c r="H107" s="36"/>
      <c r="I107" s="36"/>
      <c r="J107" s="35"/>
      <c r="K107" s="35"/>
    </row>
    <row r="108" spans="1:11" x14ac:dyDescent="0.25">
      <c r="A108" s="11">
        <v>96</v>
      </c>
      <c r="B108" s="35"/>
      <c r="C108" s="12"/>
      <c r="D108" s="10">
        <f t="shared" si="1"/>
        <v>0</v>
      </c>
      <c r="E108" s="12"/>
      <c r="F108" s="35"/>
      <c r="G108" s="35"/>
      <c r="H108" s="36"/>
      <c r="I108" s="36"/>
      <c r="J108" s="35"/>
      <c r="K108" s="35"/>
    </row>
    <row r="109" spans="1:11" x14ac:dyDescent="0.25">
      <c r="A109" s="11">
        <v>97</v>
      </c>
      <c r="B109" s="35"/>
      <c r="C109" s="12"/>
      <c r="D109" s="10">
        <f t="shared" si="1"/>
        <v>0</v>
      </c>
      <c r="E109" s="12"/>
      <c r="F109" s="35"/>
      <c r="G109" s="35"/>
      <c r="H109" s="36"/>
      <c r="I109" s="36"/>
      <c r="J109" s="35"/>
      <c r="K109" s="35"/>
    </row>
    <row r="110" spans="1:11" x14ac:dyDescent="0.25">
      <c r="A110" s="11">
        <v>98</v>
      </c>
      <c r="B110" s="35"/>
      <c r="C110" s="12"/>
      <c r="D110" s="10">
        <f t="shared" si="1"/>
        <v>0</v>
      </c>
      <c r="E110" s="12"/>
      <c r="F110" s="35"/>
      <c r="G110" s="35"/>
      <c r="H110" s="36"/>
      <c r="I110" s="36"/>
      <c r="J110" s="35"/>
      <c r="K110" s="35"/>
    </row>
    <row r="111" spans="1:11" x14ac:dyDescent="0.25">
      <c r="A111" s="11">
        <v>99</v>
      </c>
      <c r="B111" s="35"/>
      <c r="C111" s="12"/>
      <c r="D111" s="10">
        <f t="shared" si="1"/>
        <v>0</v>
      </c>
      <c r="E111" s="12"/>
      <c r="F111" s="35"/>
      <c r="G111" s="35"/>
      <c r="H111" s="36"/>
      <c r="I111" s="36"/>
      <c r="J111" s="35"/>
      <c r="K111" s="35"/>
    </row>
    <row r="112" spans="1:11" ht="16.5" thickBot="1" x14ac:dyDescent="0.3">
      <c r="A112" s="11">
        <v>100</v>
      </c>
      <c r="B112" s="35"/>
      <c r="C112" s="12"/>
      <c r="D112" s="10">
        <f t="shared" si="1"/>
        <v>0</v>
      </c>
      <c r="E112" s="12"/>
      <c r="F112" s="35"/>
      <c r="G112" s="35"/>
      <c r="H112" s="36"/>
      <c r="I112" s="36"/>
      <c r="J112" s="35"/>
      <c r="K112" s="35"/>
    </row>
    <row r="113" spans="1:11" x14ac:dyDescent="0.25">
      <c r="A113" s="13" t="s">
        <v>26</v>
      </c>
      <c r="B113" s="8">
        <f t="shared" ref="B113:K113" si="2">COUNT(B13:B112)</f>
        <v>0</v>
      </c>
      <c r="C113" s="8">
        <f t="shared" si="2"/>
        <v>0</v>
      </c>
      <c r="D113" s="8">
        <f t="shared" si="2"/>
        <v>100</v>
      </c>
      <c r="E113" s="14">
        <f t="shared" si="2"/>
        <v>0</v>
      </c>
      <c r="F113" s="13">
        <f t="shared" si="2"/>
        <v>0</v>
      </c>
      <c r="G113" s="8">
        <f t="shared" si="2"/>
        <v>0</v>
      </c>
      <c r="H113" s="8">
        <f t="shared" si="2"/>
        <v>0</v>
      </c>
      <c r="I113" s="8">
        <f t="shared" si="2"/>
        <v>0</v>
      </c>
      <c r="J113" s="8">
        <f t="shared" si="2"/>
        <v>0</v>
      </c>
      <c r="K113" s="15">
        <f t="shared" si="2"/>
        <v>0</v>
      </c>
    </row>
    <row r="114" spans="1:11" x14ac:dyDescent="0.25">
      <c r="A114" s="16" t="s">
        <v>27</v>
      </c>
      <c r="B114" s="10">
        <f t="shared" ref="B114:K114" si="3">SUM(B13:B112)</f>
        <v>0</v>
      </c>
      <c r="C114" s="10">
        <f t="shared" si="3"/>
        <v>0</v>
      </c>
      <c r="D114" s="10">
        <f t="shared" si="3"/>
        <v>0</v>
      </c>
      <c r="E114" s="17">
        <f t="shared" si="3"/>
        <v>0</v>
      </c>
      <c r="F114" s="16">
        <f t="shared" si="3"/>
        <v>0</v>
      </c>
      <c r="G114" s="10">
        <f t="shared" si="3"/>
        <v>0</v>
      </c>
      <c r="H114" s="10">
        <f t="shared" si="3"/>
        <v>0</v>
      </c>
      <c r="I114" s="10">
        <f t="shared" si="3"/>
        <v>0</v>
      </c>
      <c r="J114" s="10">
        <f t="shared" si="3"/>
        <v>0</v>
      </c>
      <c r="K114" s="18">
        <f t="shared" si="3"/>
        <v>0</v>
      </c>
    </row>
    <row r="115" spans="1:11" ht="16.5" thickBot="1" x14ac:dyDescent="0.3">
      <c r="A115" s="19" t="s">
        <v>28</v>
      </c>
      <c r="B115" s="20" t="e">
        <f>B114/B113</f>
        <v>#DIV/0!</v>
      </c>
      <c r="C115" s="20" t="e">
        <f t="shared" ref="C115:E115" si="4">C114/C113</f>
        <v>#DIV/0!</v>
      </c>
      <c r="D115" s="20">
        <f t="shared" si="4"/>
        <v>0</v>
      </c>
      <c r="E115" s="21" t="e">
        <f t="shared" si="4"/>
        <v>#DIV/0!</v>
      </c>
      <c r="F115" s="22"/>
      <c r="G115" s="20"/>
      <c r="H115" s="20"/>
      <c r="I115" s="20"/>
      <c r="J115" s="20"/>
      <c r="K115" s="23"/>
    </row>
    <row r="116" spans="1:11" ht="16.5" thickBot="1" x14ac:dyDescent="0.3"/>
    <row r="117" spans="1:11" x14ac:dyDescent="0.25">
      <c r="A117" s="24" t="s">
        <v>29</v>
      </c>
      <c r="B117" s="25"/>
      <c r="C117" s="25"/>
      <c r="D117" s="25"/>
      <c r="E117" s="25"/>
      <c r="F117" s="26">
        <f>F114</f>
        <v>0</v>
      </c>
      <c r="G117" s="26">
        <f t="shared" ref="G117:J117" si="5">G114</f>
        <v>0</v>
      </c>
      <c r="H117" s="26">
        <f t="shared" si="5"/>
        <v>0</v>
      </c>
      <c r="I117" s="26">
        <f t="shared" si="5"/>
        <v>0</v>
      </c>
      <c r="J117" s="27">
        <f t="shared" si="5"/>
        <v>0</v>
      </c>
      <c r="K117" s="27">
        <f t="shared" ref="K117" si="6">K114</f>
        <v>0</v>
      </c>
    </row>
    <row r="118" spans="1:11" x14ac:dyDescent="0.25">
      <c r="A118" s="28" t="s">
        <v>30</v>
      </c>
      <c r="F118" s="29" t="e">
        <f>F113/$B$113</f>
        <v>#DIV/0!</v>
      </c>
      <c r="G118" s="29" t="e">
        <f t="shared" ref="G118:J118" si="7">G113/$B$113</f>
        <v>#DIV/0!</v>
      </c>
      <c r="H118" s="29" t="e">
        <f t="shared" si="7"/>
        <v>#DIV/0!</v>
      </c>
      <c r="I118" s="29" t="e">
        <f t="shared" si="7"/>
        <v>#DIV/0!</v>
      </c>
      <c r="J118" s="30" t="e">
        <f t="shared" si="7"/>
        <v>#DIV/0!</v>
      </c>
      <c r="K118" s="30" t="e">
        <f t="shared" ref="K118" si="8">K113/$B$113</f>
        <v>#DIV/0!</v>
      </c>
    </row>
    <row r="119" spans="1:11" x14ac:dyDescent="0.25">
      <c r="A119" s="28" t="s">
        <v>31</v>
      </c>
      <c r="F119" s="31" t="e">
        <f>F117/$D$114</f>
        <v>#DIV/0!</v>
      </c>
      <c r="G119" s="31" t="e">
        <f t="shared" ref="G119:J119" si="9">G117/$D$114</f>
        <v>#DIV/0!</v>
      </c>
      <c r="H119" s="31" t="e">
        <f t="shared" si="9"/>
        <v>#DIV/0!</v>
      </c>
      <c r="I119" s="31" t="e">
        <f t="shared" si="9"/>
        <v>#DIV/0!</v>
      </c>
      <c r="J119" s="31" t="e">
        <f t="shared" si="9"/>
        <v>#DIV/0!</v>
      </c>
      <c r="K119" s="31" t="e">
        <f t="shared" ref="K119" si="10">K117/$D$114</f>
        <v>#DIV/0!</v>
      </c>
    </row>
    <row r="120" spans="1:11" ht="16.5" thickBot="1" x14ac:dyDescent="0.3">
      <c r="A120" s="32" t="s">
        <v>32</v>
      </c>
      <c r="B120" s="33"/>
      <c r="C120" s="33"/>
      <c r="D120" s="33"/>
      <c r="E120" s="33"/>
      <c r="F120" s="34" t="e">
        <f>F118*F119</f>
        <v>#DIV/0!</v>
      </c>
      <c r="G120" s="34" t="e">
        <f t="shared" ref="G120:J120" si="11">G118*G119</f>
        <v>#DIV/0!</v>
      </c>
      <c r="H120" s="34" t="e">
        <f t="shared" si="11"/>
        <v>#DIV/0!</v>
      </c>
      <c r="I120" s="34" t="e">
        <f t="shared" si="11"/>
        <v>#DIV/0!</v>
      </c>
      <c r="J120" s="34" t="e">
        <f t="shared" si="11"/>
        <v>#DIV/0!</v>
      </c>
      <c r="K120" s="34" t="e">
        <f t="shared" ref="K120" si="12">K118*K119</f>
        <v>#DIV/0!</v>
      </c>
    </row>
  </sheetData>
  <mergeCells count="12">
    <mergeCell ref="F11:K11"/>
    <mergeCell ref="A1:K1"/>
    <mergeCell ref="A2:K2"/>
    <mergeCell ref="A3:K3"/>
    <mergeCell ref="A4:K4"/>
    <mergeCell ref="B6:F6"/>
    <mergeCell ref="B8:F8"/>
    <mergeCell ref="A11:A12"/>
    <mergeCell ref="B11:B12"/>
    <mergeCell ref="C11:C12"/>
    <mergeCell ref="D11:D12"/>
    <mergeCell ref="E11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07AD-84D5-4C04-93C3-4DD6305FE520}">
  <dimension ref="A1:J37"/>
  <sheetViews>
    <sheetView workbookViewId="0">
      <selection activeCell="E8" sqref="E8"/>
    </sheetView>
  </sheetViews>
  <sheetFormatPr defaultColWidth="8.85546875" defaultRowHeight="15" x14ac:dyDescent="0.25"/>
  <cols>
    <col min="1" max="1" width="7.42578125" style="43" customWidth="1"/>
    <col min="2" max="2" width="6.42578125" style="43" customWidth="1"/>
    <col min="3" max="3" width="27.28515625" style="43" customWidth="1"/>
    <col min="4" max="4" width="28.7109375" style="43" customWidth="1"/>
    <col min="5" max="5" width="14.28515625" style="43" customWidth="1"/>
    <col min="6" max="6" width="8.42578125" style="43" customWidth="1"/>
    <col min="7" max="7" width="21.28515625" style="43" customWidth="1"/>
    <col min="8" max="8" width="57.28515625" style="43" customWidth="1"/>
    <col min="9" max="9" width="3.28515625" style="37" customWidth="1"/>
    <col min="10" max="10" width="35.140625" style="37" customWidth="1"/>
    <col min="11" max="16384" width="8.85546875" style="37"/>
  </cols>
  <sheetData>
    <row r="1" spans="1:10" ht="15.75" x14ac:dyDescent="0.25">
      <c r="A1" s="105" t="s">
        <v>33</v>
      </c>
      <c r="B1" s="105"/>
      <c r="C1" s="105"/>
      <c r="D1" s="105"/>
      <c r="E1" s="105"/>
      <c r="F1" s="105"/>
      <c r="G1" s="105"/>
      <c r="H1" s="105"/>
    </row>
    <row r="2" spans="1:10" x14ac:dyDescent="0.25">
      <c r="A2" s="106" t="s">
        <v>34</v>
      </c>
      <c r="B2" s="106"/>
      <c r="C2" s="106"/>
      <c r="D2" s="106"/>
      <c r="E2" s="106"/>
      <c r="F2" s="106"/>
      <c r="G2" s="106"/>
      <c r="H2" s="106"/>
    </row>
    <row r="3" spans="1:10" ht="15.75" thickBot="1" x14ac:dyDescent="0.3">
      <c r="A3" s="38"/>
      <c r="B3" s="106" t="s">
        <v>35</v>
      </c>
      <c r="C3" s="106"/>
      <c r="D3" s="106"/>
      <c r="E3" s="106"/>
      <c r="F3" s="106"/>
      <c r="G3" s="106"/>
      <c r="H3" s="106"/>
    </row>
    <row r="4" spans="1:10" ht="15.75" thickBot="1" x14ac:dyDescent="0.3">
      <c r="A4" s="107" t="s">
        <v>36</v>
      </c>
      <c r="B4" s="108"/>
      <c r="C4" s="39"/>
      <c r="D4" s="40"/>
      <c r="E4" s="107" t="s">
        <v>5</v>
      </c>
      <c r="F4" s="108"/>
      <c r="G4" s="41"/>
      <c r="H4" s="42" t="s">
        <v>37</v>
      </c>
    </row>
    <row r="5" spans="1:10" ht="15.75" thickBot="1" x14ac:dyDescent="0.3"/>
    <row r="6" spans="1:10" ht="26.25" thickBot="1" x14ac:dyDescent="0.3">
      <c r="A6" s="44" t="s">
        <v>38</v>
      </c>
      <c r="B6" s="44" t="s">
        <v>39</v>
      </c>
      <c r="C6" s="44" t="s">
        <v>40</v>
      </c>
      <c r="D6" s="44" t="s">
        <v>41</v>
      </c>
      <c r="E6" s="44" t="s">
        <v>42</v>
      </c>
      <c r="F6" s="45" t="s">
        <v>43</v>
      </c>
      <c r="G6" s="44" t="s">
        <v>44</v>
      </c>
      <c r="H6" s="44" t="s">
        <v>45</v>
      </c>
    </row>
    <row r="7" spans="1:10" x14ac:dyDescent="0.25">
      <c r="A7" s="100" t="s">
        <v>46</v>
      </c>
      <c r="B7" s="46">
        <v>1</v>
      </c>
      <c r="C7" s="47" t="s">
        <v>47</v>
      </c>
      <c r="D7" s="48"/>
      <c r="E7" s="49"/>
      <c r="F7" s="49"/>
      <c r="G7" s="49"/>
      <c r="H7" s="50"/>
    </row>
    <row r="8" spans="1:10" ht="25.5" x14ac:dyDescent="0.25">
      <c r="A8" s="101"/>
      <c r="B8" s="51">
        <v>1.1000000000000001</v>
      </c>
      <c r="C8" s="52" t="s">
        <v>48</v>
      </c>
      <c r="D8" s="53" t="s">
        <v>49</v>
      </c>
      <c r="E8" s="54"/>
      <c r="F8" s="55"/>
      <c r="G8" s="53" t="s">
        <v>50</v>
      </c>
      <c r="H8" s="53" t="s">
        <v>51</v>
      </c>
    </row>
    <row r="9" spans="1:10" ht="25.5" x14ac:dyDescent="0.25">
      <c r="A9" s="101"/>
      <c r="B9" s="51">
        <v>1.2</v>
      </c>
      <c r="C9" s="52" t="s">
        <v>52</v>
      </c>
      <c r="D9" s="53" t="s">
        <v>53</v>
      </c>
      <c r="E9" s="54"/>
      <c r="F9" s="55"/>
      <c r="G9" s="53" t="s">
        <v>54</v>
      </c>
      <c r="H9" s="53" t="s">
        <v>51</v>
      </c>
      <c r="J9" s="56"/>
    </row>
    <row r="10" spans="1:10" ht="89.25" x14ac:dyDescent="0.25">
      <c r="A10" s="101"/>
      <c r="B10" s="51">
        <v>1.3</v>
      </c>
      <c r="C10" s="52" t="s">
        <v>55</v>
      </c>
      <c r="D10" s="53" t="s">
        <v>56</v>
      </c>
      <c r="E10" s="54"/>
      <c r="F10" s="55"/>
      <c r="G10" s="53" t="s">
        <v>57</v>
      </c>
      <c r="H10" s="53" t="s">
        <v>58</v>
      </c>
    </row>
    <row r="11" spans="1:10" ht="25.5" x14ac:dyDescent="0.25">
      <c r="A11" s="101"/>
      <c r="B11" s="51">
        <v>1.4</v>
      </c>
      <c r="C11" s="52" t="s">
        <v>59</v>
      </c>
      <c r="D11" s="53" t="s">
        <v>60</v>
      </c>
      <c r="E11" s="54"/>
      <c r="F11" s="55"/>
      <c r="G11" s="53" t="s">
        <v>61</v>
      </c>
      <c r="H11" s="53" t="s">
        <v>62</v>
      </c>
    </row>
    <row r="12" spans="1:10" ht="127.5" x14ac:dyDescent="0.25">
      <c r="A12" s="101"/>
      <c r="B12" s="51">
        <v>1.5</v>
      </c>
      <c r="C12" s="52" t="s">
        <v>63</v>
      </c>
      <c r="D12" s="53" t="s">
        <v>56</v>
      </c>
      <c r="E12" s="54"/>
      <c r="F12" s="55"/>
      <c r="G12" s="53" t="s">
        <v>64</v>
      </c>
      <c r="H12" s="53" t="s">
        <v>65</v>
      </c>
    </row>
    <row r="13" spans="1:10" x14ac:dyDescent="0.25">
      <c r="A13" s="101"/>
      <c r="B13" s="51"/>
      <c r="C13" s="52" t="s">
        <v>66</v>
      </c>
      <c r="D13" s="57"/>
      <c r="E13" s="58"/>
      <c r="F13" s="58"/>
      <c r="G13" s="58"/>
      <c r="H13" s="59"/>
    </row>
    <row r="14" spans="1:10" ht="25.5" x14ac:dyDescent="0.25">
      <c r="A14" s="101"/>
      <c r="B14" s="51">
        <v>1.7</v>
      </c>
      <c r="C14" s="52" t="s">
        <v>67</v>
      </c>
      <c r="D14" s="53" t="s">
        <v>68</v>
      </c>
      <c r="E14" s="54"/>
      <c r="F14" s="55"/>
      <c r="G14" s="53"/>
      <c r="H14" s="53" t="s">
        <v>69</v>
      </c>
    </row>
    <row r="15" spans="1:10" ht="25.5" x14ac:dyDescent="0.25">
      <c r="A15" s="101"/>
      <c r="B15" s="51">
        <v>1.8</v>
      </c>
      <c r="C15" s="52" t="s">
        <v>70</v>
      </c>
      <c r="D15" s="53" t="s">
        <v>71</v>
      </c>
      <c r="E15" s="54"/>
      <c r="F15" s="55"/>
      <c r="G15" s="53"/>
      <c r="H15" s="53" t="s">
        <v>72</v>
      </c>
    </row>
    <row r="16" spans="1:10" x14ac:dyDescent="0.25">
      <c r="A16" s="101"/>
      <c r="B16" s="51"/>
      <c r="C16" s="57" t="s">
        <v>73</v>
      </c>
      <c r="D16" s="58"/>
      <c r="E16" s="58"/>
      <c r="F16" s="58"/>
      <c r="G16" s="58"/>
      <c r="H16" s="59"/>
    </row>
    <row r="17" spans="1:8" s="64" customFormat="1" ht="38.25" x14ac:dyDescent="0.2">
      <c r="A17" s="101"/>
      <c r="B17" s="51">
        <v>1.9</v>
      </c>
      <c r="C17" s="60" t="s">
        <v>74</v>
      </c>
      <c r="D17" s="61" t="s">
        <v>75</v>
      </c>
      <c r="E17" s="62"/>
      <c r="F17" s="63"/>
      <c r="G17" s="61" t="s">
        <v>76</v>
      </c>
      <c r="H17" s="61" t="s">
        <v>77</v>
      </c>
    </row>
    <row r="18" spans="1:8" s="64" customFormat="1" ht="38.25" x14ac:dyDescent="0.2">
      <c r="A18" s="101"/>
      <c r="B18" s="65">
        <v>1.1000000000000001</v>
      </c>
      <c r="C18" s="60" t="s">
        <v>78</v>
      </c>
      <c r="D18" s="61" t="s">
        <v>79</v>
      </c>
      <c r="E18" s="62"/>
      <c r="F18" s="63"/>
      <c r="G18" s="61" t="s">
        <v>80</v>
      </c>
      <c r="H18" s="61"/>
    </row>
    <row r="19" spans="1:8" s="64" customFormat="1" ht="38.25" x14ac:dyDescent="0.2">
      <c r="A19" s="101"/>
      <c r="B19" s="51">
        <v>1.1100000000000001</v>
      </c>
      <c r="C19" s="60" t="s">
        <v>81</v>
      </c>
      <c r="D19" s="61" t="s">
        <v>79</v>
      </c>
      <c r="E19" s="62"/>
      <c r="F19" s="63"/>
      <c r="G19" s="61" t="s">
        <v>82</v>
      </c>
      <c r="H19" s="66" t="s">
        <v>83</v>
      </c>
    </row>
    <row r="20" spans="1:8" s="64" customFormat="1" ht="25.5" x14ac:dyDescent="0.2">
      <c r="A20" s="101"/>
      <c r="B20" s="51">
        <v>1.1200000000000001</v>
      </c>
      <c r="C20" s="60" t="s">
        <v>84</v>
      </c>
      <c r="D20" s="61" t="s">
        <v>85</v>
      </c>
      <c r="E20" s="62"/>
      <c r="F20" s="63"/>
      <c r="G20" s="61" t="s">
        <v>86</v>
      </c>
      <c r="H20" s="61"/>
    </row>
    <row r="21" spans="1:8" s="64" customFormat="1" ht="25.5" x14ac:dyDescent="0.2">
      <c r="A21" s="101"/>
      <c r="B21" s="51">
        <v>1.1299999999999999</v>
      </c>
      <c r="C21" s="60" t="s">
        <v>87</v>
      </c>
      <c r="D21" s="61" t="s">
        <v>88</v>
      </c>
      <c r="E21" s="62"/>
      <c r="F21" s="63"/>
      <c r="G21" s="61" t="s">
        <v>89</v>
      </c>
      <c r="H21" s="61"/>
    </row>
    <row r="22" spans="1:8" s="64" customFormat="1" ht="26.25" thickBot="1" x14ac:dyDescent="0.25">
      <c r="A22" s="102"/>
      <c r="B22" s="51">
        <v>1.1399999999999999</v>
      </c>
      <c r="C22" s="67" t="s">
        <v>90</v>
      </c>
      <c r="D22" s="68" t="s">
        <v>91</v>
      </c>
      <c r="E22" s="69"/>
      <c r="F22" s="70"/>
      <c r="G22" s="68" t="s">
        <v>92</v>
      </c>
      <c r="H22" s="68" t="s">
        <v>93</v>
      </c>
    </row>
    <row r="23" spans="1:8" x14ac:dyDescent="0.25">
      <c r="A23" s="100" t="s">
        <v>94</v>
      </c>
      <c r="B23" s="71"/>
      <c r="C23" s="47" t="s">
        <v>95</v>
      </c>
      <c r="D23" s="48"/>
      <c r="E23" s="49"/>
      <c r="F23" s="49"/>
      <c r="G23" s="49"/>
      <c r="H23" s="50"/>
    </row>
    <row r="24" spans="1:8" ht="25.5" x14ac:dyDescent="0.25">
      <c r="A24" s="101"/>
      <c r="B24" s="51">
        <v>2.1</v>
      </c>
      <c r="C24" s="52" t="s">
        <v>96</v>
      </c>
      <c r="D24" s="53" t="s">
        <v>97</v>
      </c>
      <c r="E24" s="54"/>
      <c r="F24" s="55"/>
      <c r="G24" s="53" t="s">
        <v>98</v>
      </c>
      <c r="H24" s="53" t="s">
        <v>99</v>
      </c>
    </row>
    <row r="25" spans="1:8" ht="25.5" x14ac:dyDescent="0.25">
      <c r="A25" s="101"/>
      <c r="B25" s="51">
        <v>2.2000000000000002</v>
      </c>
      <c r="C25" s="52" t="s">
        <v>100</v>
      </c>
      <c r="D25" s="53" t="s">
        <v>101</v>
      </c>
      <c r="E25" s="54"/>
      <c r="F25" s="55"/>
      <c r="G25" s="53" t="s">
        <v>102</v>
      </c>
      <c r="H25" s="53"/>
    </row>
    <row r="26" spans="1:8" ht="25.5" x14ac:dyDescent="0.25">
      <c r="A26" s="101"/>
      <c r="B26" s="53"/>
      <c r="C26" s="52" t="s">
        <v>103</v>
      </c>
      <c r="D26" s="57"/>
      <c r="E26" s="58"/>
      <c r="F26" s="58"/>
      <c r="G26" s="58"/>
      <c r="H26" s="59"/>
    </row>
    <row r="27" spans="1:8" ht="25.5" x14ac:dyDescent="0.25">
      <c r="A27" s="101"/>
      <c r="B27" s="51">
        <v>2.2999999999999998</v>
      </c>
      <c r="C27" s="52" t="s">
        <v>96</v>
      </c>
      <c r="D27" s="53" t="s">
        <v>97</v>
      </c>
      <c r="E27" s="54"/>
      <c r="F27" s="55"/>
      <c r="G27" s="53" t="s">
        <v>98</v>
      </c>
      <c r="H27" s="53" t="s">
        <v>104</v>
      </c>
    </row>
    <row r="28" spans="1:8" ht="25.5" x14ac:dyDescent="0.25">
      <c r="A28" s="101"/>
      <c r="B28" s="51">
        <v>2.4</v>
      </c>
      <c r="C28" s="52" t="s">
        <v>105</v>
      </c>
      <c r="D28" s="53" t="s">
        <v>101</v>
      </c>
      <c r="E28" s="54"/>
      <c r="F28" s="55"/>
      <c r="G28" s="53" t="s">
        <v>102</v>
      </c>
      <c r="H28" s="53"/>
    </row>
    <row r="29" spans="1:8" ht="25.5" x14ac:dyDescent="0.25">
      <c r="A29" s="101"/>
      <c r="B29" s="51">
        <v>2.5</v>
      </c>
      <c r="C29" s="72" t="s">
        <v>106</v>
      </c>
      <c r="D29" s="53" t="s">
        <v>107</v>
      </c>
      <c r="E29" s="54"/>
      <c r="F29" s="55"/>
      <c r="G29" s="53" t="s">
        <v>50</v>
      </c>
      <c r="H29" s="53"/>
    </row>
    <row r="30" spans="1:8" ht="25.5" x14ac:dyDescent="0.25">
      <c r="A30" s="101"/>
      <c r="B30" s="51">
        <v>2.6</v>
      </c>
      <c r="C30" s="72" t="s">
        <v>108</v>
      </c>
      <c r="D30" s="53" t="s">
        <v>101</v>
      </c>
      <c r="E30" s="54"/>
      <c r="F30" s="55"/>
      <c r="G30" s="53" t="s">
        <v>109</v>
      </c>
      <c r="H30" s="53"/>
    </row>
    <row r="31" spans="1:8" ht="26.25" thickBot="1" x14ac:dyDescent="0.3">
      <c r="A31" s="102"/>
      <c r="B31" s="73">
        <v>2.7</v>
      </c>
      <c r="C31" s="74" t="s">
        <v>110</v>
      </c>
      <c r="D31" s="75" t="s">
        <v>101</v>
      </c>
      <c r="E31" s="76"/>
      <c r="F31" s="77"/>
      <c r="G31" s="75" t="s">
        <v>109</v>
      </c>
      <c r="H31" s="75"/>
    </row>
    <row r="32" spans="1:8" ht="25.5" x14ac:dyDescent="0.25">
      <c r="A32" s="103" t="s">
        <v>111</v>
      </c>
      <c r="B32" s="53">
        <v>3.1</v>
      </c>
      <c r="C32" s="52" t="s">
        <v>112</v>
      </c>
      <c r="D32" s="53" t="s">
        <v>113</v>
      </c>
      <c r="E32" s="54"/>
      <c r="F32" s="55"/>
      <c r="G32" s="53" t="s">
        <v>114</v>
      </c>
      <c r="H32" s="53" t="s">
        <v>115</v>
      </c>
    </row>
    <row r="33" spans="1:8" ht="25.5" x14ac:dyDescent="0.25">
      <c r="A33" s="103"/>
      <c r="B33" s="53">
        <v>3.2</v>
      </c>
      <c r="C33" s="52" t="s">
        <v>116</v>
      </c>
      <c r="D33" s="53" t="s">
        <v>117</v>
      </c>
      <c r="E33" s="54"/>
      <c r="F33" s="55"/>
      <c r="G33" s="53" t="s">
        <v>114</v>
      </c>
      <c r="H33" s="53" t="s">
        <v>115</v>
      </c>
    </row>
    <row r="34" spans="1:8" ht="25.5" x14ac:dyDescent="0.25">
      <c r="A34" s="103"/>
      <c r="B34" s="53">
        <v>3.3</v>
      </c>
      <c r="C34" s="52" t="s">
        <v>118</v>
      </c>
      <c r="D34" s="53" t="s">
        <v>119</v>
      </c>
      <c r="E34" s="54"/>
      <c r="F34" s="55"/>
      <c r="G34" s="53" t="s">
        <v>114</v>
      </c>
      <c r="H34" s="53" t="s">
        <v>115</v>
      </c>
    </row>
    <row r="35" spans="1:8" ht="25.5" x14ac:dyDescent="0.25">
      <c r="A35" s="103"/>
      <c r="B35" s="53">
        <v>3.4</v>
      </c>
      <c r="C35" s="52" t="s">
        <v>120</v>
      </c>
      <c r="D35" s="53" t="s">
        <v>121</v>
      </c>
      <c r="E35" s="54"/>
      <c r="F35" s="55"/>
      <c r="G35" s="53" t="s">
        <v>114</v>
      </c>
      <c r="H35" s="53" t="s">
        <v>115</v>
      </c>
    </row>
    <row r="36" spans="1:8" ht="25.5" x14ac:dyDescent="0.25">
      <c r="A36" s="103"/>
      <c r="B36" s="53">
        <v>3.6</v>
      </c>
      <c r="C36" s="78" t="s">
        <v>122</v>
      </c>
      <c r="D36" s="53" t="s">
        <v>123</v>
      </c>
      <c r="E36" s="54"/>
      <c r="F36" s="55"/>
      <c r="G36" s="53" t="s">
        <v>124</v>
      </c>
      <c r="H36" s="53"/>
    </row>
    <row r="37" spans="1:8" ht="26.25" thickBot="1" x14ac:dyDescent="0.3">
      <c r="A37" s="104"/>
      <c r="B37" s="79">
        <v>3.7</v>
      </c>
      <c r="C37" s="80" t="s">
        <v>125</v>
      </c>
      <c r="D37" s="79" t="s">
        <v>126</v>
      </c>
      <c r="E37" s="81"/>
      <c r="F37" s="82"/>
      <c r="G37" s="79" t="s">
        <v>127</v>
      </c>
      <c r="H37" s="83" t="s">
        <v>128</v>
      </c>
    </row>
  </sheetData>
  <mergeCells count="8">
    <mergeCell ref="A23:A31"/>
    <mergeCell ref="A32:A37"/>
    <mergeCell ref="A1:H1"/>
    <mergeCell ref="A2:H2"/>
    <mergeCell ref="B3:H3"/>
    <mergeCell ref="A4:B4"/>
    <mergeCell ref="E4:F4"/>
    <mergeCell ref="A7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Roller</vt:lpstr>
      <vt:lpstr>mpdm</vt:lpstr>
      <vt:lpstr>daily-variables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Mengist</dc:creator>
  <cp:lastModifiedBy>Mengistu</cp:lastModifiedBy>
  <dcterms:created xsi:type="dcterms:W3CDTF">2015-06-05T18:17:20Z</dcterms:created>
  <dcterms:modified xsi:type="dcterms:W3CDTF">2025-12-23T13:19:21Z</dcterms:modified>
</cp:coreProperties>
</file>