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gist\Downloads\Telegram Desktop\"/>
    </mc:Choice>
  </mc:AlternateContent>
  <xr:revisionPtr revIDLastSave="0" documentId="13_ncr:1_{2F5788F9-B1CD-4F19-B618-ABDA92A0EEA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labour" sheetId="1" r:id="rId1"/>
    <sheet name="work_sampling" sheetId="2" r:id="rId2"/>
    <sheet name="daily_variabl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1" l="1"/>
  <c r="H13" i="1"/>
  <c r="I12" i="1"/>
  <c r="H12" i="1"/>
  <c r="I11" i="1"/>
  <c r="H10" i="1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</calcChain>
</file>

<file path=xl/sharedStrings.xml><?xml version="1.0" encoding="utf-8"?>
<sst xmlns="http://schemas.openxmlformats.org/spreadsheetml/2006/main" count="222" uniqueCount="167">
  <si>
    <t xml:space="preserve">Crew size </t>
  </si>
  <si>
    <t xml:space="preserve">Crew composition </t>
  </si>
  <si>
    <t xml:space="preserve">Co-operation among craftsperson </t>
  </si>
  <si>
    <t>Level of interruption and disruption</t>
  </si>
  <si>
    <t>Fairness of work assignment</t>
  </si>
  <si>
    <t>Ability of crew to perform other's task</t>
  </si>
  <si>
    <t>Willingness to perform other's tasks</t>
  </si>
  <si>
    <t>Craftsperson education</t>
  </si>
  <si>
    <t>Craftsperson on job training</t>
  </si>
  <si>
    <t>Craftsperson technical  training</t>
  </si>
  <si>
    <t>Crew experience (seniority)</t>
  </si>
  <si>
    <t xml:space="preserve">Number of languages spoken </t>
  </si>
  <si>
    <t>Job security</t>
  </si>
  <si>
    <t>Equipment number`</t>
  </si>
  <si>
    <t xml:space="preserve">Waiting time for work equipment </t>
  </si>
  <si>
    <t>Equipment number</t>
  </si>
  <si>
    <t xml:space="preserve">Waiting time for transport equipment </t>
  </si>
  <si>
    <t>Misplacement of tools</t>
  </si>
  <si>
    <t>Availability of electric power</t>
  </si>
  <si>
    <t>Availability of extension cords</t>
  </si>
  <si>
    <t>Weather (temperature)</t>
  </si>
  <si>
    <t xml:space="preserve">Weather (precipitation) </t>
  </si>
  <si>
    <t xml:space="preserve">Weather (humidity) </t>
  </si>
  <si>
    <t>Weather (wind speed)</t>
  </si>
  <si>
    <t>Site congestion</t>
  </si>
  <si>
    <t>Use of overtime</t>
  </si>
  <si>
    <t>Date</t>
  </si>
  <si>
    <t>Data Collector</t>
  </si>
  <si>
    <t>Bahir Dar Institute of Technology, BiT</t>
  </si>
  <si>
    <t>CONSTRUCTION MANAGEMENT INSTITUTE (CMI) WITH BAHIR DAR INSTITUTE OF TECHNOLOGY (BiT)</t>
  </si>
  <si>
    <t xml:space="preserve"> PREPARATION OF NATIONAL PRODUCTIVITY NORM FOR WATER CONSTRUCTION TRADES</t>
  </si>
  <si>
    <t>Data Count:</t>
  </si>
  <si>
    <t>Task Type          (1)</t>
  </si>
  <si>
    <t>Location (3)</t>
  </si>
  <si>
    <t>Crew Size (4)</t>
  </si>
  <si>
    <t>Crew Composition (Foreman, Worker, Helper, etc.) (5)</t>
  </si>
  <si>
    <t>Work Time</t>
  </si>
  <si>
    <t>Total Manhours (6x8)      (9)</t>
  </si>
  <si>
    <t>Unit (10)</t>
  </si>
  <si>
    <t>Daily Units Completed (11)</t>
  </si>
  <si>
    <t>Productivity</t>
  </si>
  <si>
    <t>Problem Code (13)</t>
  </si>
  <si>
    <t>Work Time - R (6)</t>
  </si>
  <si>
    <t>Work Time - OT (7)</t>
  </si>
  <si>
    <t>Total (6+7)     (8)</t>
  </si>
  <si>
    <t>Installed Quantity / T. Manhours (9/11)       (12)</t>
  </si>
  <si>
    <t>Observation Number:</t>
  </si>
  <si>
    <t>Preparatory work</t>
  </si>
  <si>
    <t>Particulars / description              (2)</t>
  </si>
  <si>
    <t>Bahir Dar University</t>
  </si>
  <si>
    <t>Project:</t>
  </si>
  <si>
    <t xml:space="preserve">Consultant: </t>
  </si>
  <si>
    <t>Faculty of Civil and Water Resource Engineering</t>
  </si>
  <si>
    <t xml:space="preserve">Lead Consultant: </t>
  </si>
  <si>
    <t>Addis Ababa Institute of Technology, AAIT</t>
  </si>
  <si>
    <t xml:space="preserve">Client: </t>
  </si>
  <si>
    <t>FDRE Construction Management Institute (CMI)</t>
  </si>
  <si>
    <t xml:space="preserve">Title of form: </t>
  </si>
  <si>
    <t>Work Sampling</t>
  </si>
  <si>
    <t>Data Collection Form Description</t>
  </si>
  <si>
    <t>Observation Time (Hr.)</t>
  </si>
  <si>
    <t>Observation Time: (min)</t>
  </si>
  <si>
    <t>CREW 1</t>
  </si>
  <si>
    <t xml:space="preserve">Direct </t>
  </si>
  <si>
    <t xml:space="preserve">Tools and equipment </t>
  </si>
  <si>
    <t xml:space="preserve">Material handling </t>
  </si>
  <si>
    <t xml:space="preserve">Waiting </t>
  </si>
  <si>
    <t xml:space="preserve">Travel </t>
  </si>
  <si>
    <t xml:space="preserve"> </t>
  </si>
  <si>
    <t xml:space="preserve">Personal </t>
  </si>
  <si>
    <t>Sum</t>
  </si>
  <si>
    <t xml:space="preserve">Project Code: </t>
  </si>
  <si>
    <t>Data count:</t>
  </si>
  <si>
    <t xml:space="preserve">Crew tag: </t>
  </si>
  <si>
    <t>Task type code:</t>
  </si>
  <si>
    <t>BAHIR DAR INTITUTE OF TECHNOLOGY</t>
  </si>
  <si>
    <t>PREPARATION OF NATIONAL PRODUCTIVITY NORM FOR WATER CONSTRUCTION TRADE</t>
  </si>
  <si>
    <t xml:space="preserve">Main Factor </t>
  </si>
  <si>
    <t>Factor ID</t>
  </si>
  <si>
    <t xml:space="preserve">Sub - Factors </t>
  </si>
  <si>
    <t>Scale of Measure</t>
  </si>
  <si>
    <t>Sub-factor / Range of Value</t>
  </si>
  <si>
    <t xml:space="preserve">Predetermined Ratings (1 - 5) / Description </t>
  </si>
  <si>
    <t>1. Labour Characterstics</t>
  </si>
  <si>
    <t>Crew Properties</t>
  </si>
  <si>
    <t>Integer (Total number of crew members)</t>
  </si>
  <si>
    <t>Range (1 - 20)</t>
  </si>
  <si>
    <t xml:space="preserve">Vaules for each of the crews understudy </t>
  </si>
  <si>
    <t>Crew Member's Number (Foreman, Tradesperson, Laborer, Helper)</t>
  </si>
  <si>
    <t>Range og each category (0 - 10)</t>
  </si>
  <si>
    <t>1 - 5 Predetermined rating</t>
  </si>
  <si>
    <t>Crew size, Crew heterogeneity in nationality, ability to perform the task, and stake value related to the task</t>
  </si>
  <si>
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</si>
  <si>
    <t>Integer (Number of  interruption and disruption per day)</t>
  </si>
  <si>
    <t>Range (0 - 20)</t>
  </si>
  <si>
    <t xml:space="preserve">To document the number of delay events caused due to several reasons which may disrupt the crew from performing the assigned tasks. </t>
  </si>
  <si>
    <t>Consistency (same policy), Reasonableness (use of common sense), Resource (resource allocations), Information (provision of information), Timeliness (timely action), Meaningful assignment</t>
  </si>
  <si>
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</si>
  <si>
    <t>Crew flexibility</t>
  </si>
  <si>
    <t>Percent (degree of ability to perform other's task)</t>
  </si>
  <si>
    <t xml:space="preserve">1. Below 20%; 2. Between 20 - 40%; 3. Between 40 - 60%; 4. Between 60 - 80%; 5. Above 80% </t>
  </si>
  <si>
    <t>Categorical</t>
  </si>
  <si>
    <t>1. Completely Unwilling; 2. Somewhat NOT Willing; 3. Somewhat Willing; 4. Willing; 5. Completely Willing</t>
  </si>
  <si>
    <t>Crew Characterstics</t>
  </si>
  <si>
    <t>Categorical (Most frequent category)</t>
  </si>
  <si>
    <t xml:space="preserve">Elementary, High School, Technical, College, University </t>
  </si>
  <si>
    <t>1 Elementary, 2. Highschool, 3. Technical, 4. College, 5. University</t>
  </si>
  <si>
    <t>Real number (No. trainings attended x Duration of Training, hrs)</t>
  </si>
  <si>
    <t>Range (0 - 150)</t>
  </si>
  <si>
    <t>Range (0 - 1000)</t>
  </si>
  <si>
    <t>Real number (Crew average years of experience )</t>
  </si>
  <si>
    <t>Range (0 - 40)</t>
  </si>
  <si>
    <t>Integer (Number of languages spoken, total for a crew)</t>
  </si>
  <si>
    <t>Range (1 - 5)</t>
  </si>
  <si>
    <t>Integer (Average length of unemployment period, months)</t>
  </si>
  <si>
    <t xml:space="preserve">Range (0 -12) </t>
  </si>
  <si>
    <t xml:space="preserve">Average per crew member. </t>
  </si>
  <si>
    <t xml:space="preserve">2. Equipment and Tools </t>
  </si>
  <si>
    <t>Availability of work equipment</t>
  </si>
  <si>
    <t>Categorical (Type and Number on site)</t>
  </si>
  <si>
    <t>Range (0 - 10)</t>
  </si>
  <si>
    <t>Work of equipment (crane, forklift)</t>
  </si>
  <si>
    <t>Real number (Average waiting time,min)</t>
  </si>
  <si>
    <t>Range (0 - 60)</t>
  </si>
  <si>
    <t xml:space="preserve">Availability of transport equipment </t>
  </si>
  <si>
    <t>Transport equipment (man lift)</t>
  </si>
  <si>
    <t>Real Number (Average no. of misplacement per day)</t>
  </si>
  <si>
    <t>Range (0 - 30)</t>
  </si>
  <si>
    <t xml:space="preserve">3. Project 
Condition </t>
  </si>
  <si>
    <r>
      <t>Real number (</t>
    </r>
    <r>
      <rPr>
        <sz val="10"/>
        <color indexed="8"/>
        <rFont val="Times New Roman"/>
        <family val="1"/>
      </rPr>
      <t>˚C)</t>
    </r>
  </si>
  <si>
    <t>Range: recorded (min, max)</t>
  </si>
  <si>
    <t xml:space="preserve">weather.gc.ca. </t>
  </si>
  <si>
    <r>
      <t>Real number (</t>
    </r>
    <r>
      <rPr>
        <sz val="10"/>
        <color indexed="8"/>
        <rFont val="Times New Roman"/>
        <family val="1"/>
      </rPr>
      <t>mm)</t>
    </r>
  </si>
  <si>
    <r>
      <t>Real number (</t>
    </r>
    <r>
      <rPr>
        <sz val="10"/>
        <color indexed="8"/>
        <rFont val="Times New Roman"/>
        <family val="1"/>
      </rPr>
      <t>%)</t>
    </r>
  </si>
  <si>
    <t>Real number (km/hr)</t>
  </si>
  <si>
    <t>Real number (Ratio free site space to total site area)</t>
  </si>
  <si>
    <t>Range (0 -100)</t>
  </si>
  <si>
    <t>Real number (Average over time per week)</t>
  </si>
  <si>
    <t>Range (0 -38)</t>
  </si>
  <si>
    <t xml:space="preserve">Over all project activities (besides the one under study). </t>
  </si>
  <si>
    <t>Form 2</t>
  </si>
  <si>
    <t>Labour Productivity Data Records</t>
  </si>
  <si>
    <t xml:space="preserve">Form -6 - Daily Input Variables </t>
  </si>
  <si>
    <t>Data Source</t>
  </si>
  <si>
    <t>Data Value</t>
  </si>
  <si>
    <t xml:space="preserve">Study on Productivity Norm of Water Construction Trades </t>
  </si>
  <si>
    <t>3:00:00 ጥዋት - 4:00 ጥዋት</t>
  </si>
  <si>
    <t>2:00:00 ጥዋት - 3:00 ጥዋት</t>
  </si>
  <si>
    <t>4:00:00 ጥዋት - 5:00 ጥዋት</t>
  </si>
  <si>
    <t>5:00:00 ጥዋት - 6:00 ጥዋት</t>
  </si>
  <si>
    <t>8:00:00  - 9:00 ከሰዓት</t>
  </si>
  <si>
    <t>7:00:00  - 8:00 ከሰዓት</t>
  </si>
  <si>
    <t>9:00:00  -10:00 ከሰዓት</t>
  </si>
  <si>
    <t>10:00:00  -11:00 ከሰዓት</t>
  </si>
  <si>
    <t xml:space="preserve">Location:   </t>
  </si>
  <si>
    <t>Ground</t>
  </si>
  <si>
    <t>form work</t>
  </si>
  <si>
    <t>division 13,form work ,wall of reservoir ,panal material use</t>
  </si>
  <si>
    <t>1 foreman ,1 worker,5 worker</t>
  </si>
  <si>
    <t>m2</t>
  </si>
  <si>
    <t>24 m2</t>
  </si>
  <si>
    <t>2A</t>
  </si>
  <si>
    <t>m2/h</t>
  </si>
  <si>
    <t>Project Code:</t>
  </si>
  <si>
    <t>Number of Crews:</t>
  </si>
  <si>
    <t xml:space="preserve">Date: 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</si>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</sst>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\-mmm\-yy;@"/>
  </numFmts>
  <fonts count="17" x14ac:knownFonts="1">
    <font>
      <sz val="11"/>
      <name val="Nyala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Nyala"/>
    </font>
    <font>
      <b/>
      <sz val="11"/>
      <color rgb="FF000000"/>
      <name val="Garamond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vertAlign val="superscript"/>
      <sz val="10"/>
      <name val="Times New Roman"/>
      <family val="1"/>
    </font>
    <font>
      <sz val="10"/>
      <color indexed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>
      <protection locked="0"/>
    </xf>
  </cellStyleXfs>
  <cellXfs count="14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2" borderId="6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20" fontId="1" fillId="0" borderId="10" xfId="0" applyNumberFormat="1" applyFont="1" applyBorder="1" applyAlignment="1">
      <alignment horizontal="center" vertical="center"/>
    </xf>
    <xf numFmtId="46" fontId="1" fillId="0" borderId="10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/>
    <xf numFmtId="0" fontId="6" fillId="0" borderId="22" xfId="1" applyFont="1" applyBorder="1" applyAlignment="1" applyProtection="1">
      <alignment vertical="center" wrapText="1"/>
    </xf>
    <xf numFmtId="0" fontId="9" fillId="4" borderId="4" xfId="1" applyFill="1" applyBorder="1" applyAlignment="1" applyProtection="1">
      <alignment horizontal="center"/>
    </xf>
    <xf numFmtId="0" fontId="9" fillId="4" borderId="23" xfId="1" applyFill="1" applyBorder="1" applyAlignment="1" applyProtection="1">
      <alignment horizontal="center"/>
    </xf>
    <xf numFmtId="0" fontId="9" fillId="4" borderId="24" xfId="1" applyFill="1" applyBorder="1" applyAlignment="1" applyProtection="1">
      <alignment horizontal="center"/>
    </xf>
    <xf numFmtId="0" fontId="1" fillId="0" borderId="5" xfId="0" applyFont="1" applyBorder="1" applyAlignment="1"/>
    <xf numFmtId="0" fontId="9" fillId="4" borderId="23" xfId="1" applyFill="1" applyBorder="1" applyAlignment="1" applyProtection="1">
      <alignment horizontal="center" wrapText="1"/>
    </xf>
    <xf numFmtId="0" fontId="6" fillId="0" borderId="22" xfId="1" applyFont="1" applyBorder="1" applyAlignment="1" applyProtection="1">
      <alignment vertical="center" textRotation="90" wrapText="1"/>
    </xf>
    <xf numFmtId="0" fontId="6" fillId="0" borderId="27" xfId="1" applyFont="1" applyBorder="1" applyAlignment="1" applyProtection="1">
      <alignment horizontal="left" vertical="center"/>
    </xf>
    <xf numFmtId="0" fontId="8" fillId="4" borderId="6" xfId="1" applyFont="1" applyFill="1" applyBorder="1" applyAlignment="1" applyProtection="1">
      <alignment horizontal="center"/>
    </xf>
    <xf numFmtId="0" fontId="8" fillId="4" borderId="1" xfId="1" applyFont="1" applyFill="1" applyBorder="1" applyAlignment="1" applyProtection="1">
      <alignment horizontal="center"/>
    </xf>
    <xf numFmtId="0" fontId="8" fillId="4" borderId="3" xfId="1" applyFont="1" applyFill="1" applyBorder="1" applyAlignment="1" applyProtection="1">
      <alignment horizontal="center"/>
    </xf>
    <xf numFmtId="0" fontId="6" fillId="0" borderId="29" xfId="1" applyFont="1" applyBorder="1" applyAlignment="1" applyProtection="1">
      <alignment horizontal="left" vertical="center"/>
    </xf>
    <xf numFmtId="0" fontId="8" fillId="4" borderId="30" xfId="1" applyFont="1" applyFill="1" applyBorder="1" applyAlignment="1" applyProtection="1">
      <alignment horizontal="center"/>
    </xf>
    <xf numFmtId="0" fontId="8" fillId="4" borderId="11" xfId="1" applyFont="1" applyFill="1" applyBorder="1" applyAlignment="1" applyProtection="1">
      <alignment horizontal="center"/>
    </xf>
    <xf numFmtId="0" fontId="8" fillId="4" borderId="31" xfId="1" applyFont="1" applyFill="1" applyBorder="1" applyAlignment="1" applyProtection="1">
      <alignment horizontal="center"/>
    </xf>
    <xf numFmtId="0" fontId="8" fillId="4" borderId="33" xfId="1" applyFont="1" applyFill="1" applyBorder="1" applyAlignment="1" applyProtection="1">
      <alignment horizontal="center"/>
    </xf>
    <xf numFmtId="0" fontId="8" fillId="4" borderId="34" xfId="1" applyFont="1" applyFill="1" applyBorder="1" applyAlignment="1" applyProtection="1">
      <alignment horizontal="center"/>
    </xf>
    <xf numFmtId="0" fontId="8" fillId="4" borderId="35" xfId="1" applyFont="1" applyFill="1" applyBorder="1" applyAlignment="1" applyProtection="1">
      <alignment horizontal="center"/>
    </xf>
    <xf numFmtId="0" fontId="6" fillId="0" borderId="37" xfId="1" applyFont="1" applyBorder="1" applyAlignment="1" applyProtection="1">
      <alignment horizontal="right" vertical="center"/>
    </xf>
    <xf numFmtId="0" fontId="8" fillId="4" borderId="4" xfId="1" applyFont="1" applyFill="1" applyBorder="1" applyAlignment="1" applyProtection="1">
      <alignment horizontal="center"/>
    </xf>
    <xf numFmtId="0" fontId="8" fillId="4" borderId="23" xfId="1" applyFont="1" applyFill="1" applyBorder="1" applyAlignment="1" applyProtection="1">
      <alignment horizontal="center"/>
    </xf>
    <xf numFmtId="0" fontId="8" fillId="4" borderId="24" xfId="1" applyFont="1" applyFill="1" applyBorder="1" applyAlignment="1" applyProtection="1">
      <alignment horizontal="center"/>
    </xf>
    <xf numFmtId="0" fontId="1" fillId="5" borderId="0" xfId="0" applyFont="1" applyFill="1" applyAlignment="1"/>
    <xf numFmtId="0" fontId="10" fillId="0" borderId="0" xfId="0" applyFont="1" applyAlignment="1"/>
    <xf numFmtId="0" fontId="11" fillId="0" borderId="0" xfId="0" applyFont="1" applyAlignment="1"/>
    <xf numFmtId="0" fontId="11" fillId="0" borderId="0" xfId="0" applyFont="1" applyAlignment="1">
      <alignment horizontal="right" indent="1"/>
    </xf>
    <xf numFmtId="0" fontId="12" fillId="0" borderId="0" xfId="0" applyFont="1" applyAlignment="1">
      <alignment horizontal="right"/>
    </xf>
    <xf numFmtId="0" fontId="10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0" fillId="0" borderId="0" xfId="0" applyFont="1" applyAlignment="1">
      <alignment horizontal="right"/>
    </xf>
    <xf numFmtId="0" fontId="14" fillId="0" borderId="0" xfId="0" applyFont="1" applyAlignment="1"/>
    <xf numFmtId="0" fontId="6" fillId="3" borderId="5" xfId="1" applyFont="1" applyFill="1" applyBorder="1" applyAlignment="1" applyProtection="1">
      <alignment horizontal="center" vertical="center" wrapText="1"/>
    </xf>
    <xf numFmtId="0" fontId="6" fillId="3" borderId="14" xfId="1" applyFont="1" applyFill="1" applyBorder="1" applyAlignment="1" applyProtection="1">
      <alignment horizontal="center" vertical="center" wrapText="1"/>
    </xf>
    <xf numFmtId="0" fontId="10" fillId="6" borderId="0" xfId="0" applyFont="1" applyFill="1" applyAlignment="1"/>
    <xf numFmtId="0" fontId="13" fillId="6" borderId="38" xfId="0" applyFont="1" applyFill="1" applyBorder="1" applyAlignment="1">
      <alignment horizontal="left" vertical="top" wrapText="1"/>
    </xf>
    <xf numFmtId="0" fontId="13" fillId="6" borderId="38" xfId="0" applyFont="1" applyFill="1" applyBorder="1" applyAlignment="1">
      <alignment vertical="top" wrapText="1"/>
    </xf>
    <xf numFmtId="0" fontId="13" fillId="6" borderId="39" xfId="0" applyFont="1" applyFill="1" applyBorder="1" applyAlignment="1">
      <alignment vertical="top" wrapText="1"/>
    </xf>
    <xf numFmtId="0" fontId="13" fillId="6" borderId="40" xfId="0" applyFont="1" applyFill="1" applyBorder="1" applyAlignment="1">
      <alignment vertical="top" wrapText="1"/>
    </xf>
    <xf numFmtId="0" fontId="13" fillId="7" borderId="41" xfId="0" applyFont="1" applyFill="1" applyBorder="1" applyAlignment="1">
      <alignment horizontal="right" vertical="top" wrapText="1"/>
    </xf>
    <xf numFmtId="0" fontId="13" fillId="7" borderId="41" xfId="0" applyFont="1" applyFill="1" applyBorder="1" applyAlignment="1">
      <alignment vertical="top" wrapText="1"/>
    </xf>
    <xf numFmtId="0" fontId="13" fillId="7" borderId="41" xfId="0" applyFont="1" applyFill="1" applyBorder="1" applyAlignment="1">
      <alignment horizontal="left" vertical="top" wrapText="1"/>
    </xf>
    <xf numFmtId="0" fontId="13" fillId="7" borderId="42" xfId="0" applyFont="1" applyFill="1" applyBorder="1" applyAlignment="1">
      <alignment horizontal="left" vertical="top" wrapText="1"/>
    </xf>
    <xf numFmtId="0" fontId="13" fillId="6" borderId="41" xfId="0" applyFont="1" applyFill="1" applyBorder="1" applyAlignment="1">
      <alignment horizontal="right" vertical="top" wrapText="1"/>
    </xf>
    <xf numFmtId="0" fontId="13" fillId="6" borderId="41" xfId="0" applyFont="1" applyFill="1" applyBorder="1" applyAlignment="1">
      <alignment vertical="top" wrapText="1"/>
    </xf>
    <xf numFmtId="0" fontId="13" fillId="6" borderId="43" xfId="0" applyFont="1" applyFill="1" applyBorder="1" applyAlignment="1">
      <alignment vertical="top" wrapText="1"/>
    </xf>
    <xf numFmtId="0" fontId="13" fillId="6" borderId="44" xfId="0" applyFont="1" applyFill="1" applyBorder="1" applyAlignment="1">
      <alignment vertical="top" wrapText="1"/>
    </xf>
    <xf numFmtId="0" fontId="13" fillId="0" borderId="0" xfId="0" applyFont="1" applyAlignment="1"/>
    <xf numFmtId="0" fontId="8" fillId="7" borderId="42" xfId="0" applyFont="1" applyFill="1" applyBorder="1" applyAlignment="1">
      <alignment vertical="top" wrapText="1"/>
    </xf>
    <xf numFmtId="0" fontId="8" fillId="7" borderId="41" xfId="0" applyFont="1" applyFill="1" applyBorder="1" applyAlignment="1">
      <alignment horizontal="left" vertical="top" wrapText="1"/>
    </xf>
    <xf numFmtId="0" fontId="8" fillId="7" borderId="25" xfId="0" applyFont="1" applyFill="1" applyBorder="1" applyAlignment="1">
      <alignment horizontal="left" vertical="top" wrapText="1"/>
    </xf>
    <xf numFmtId="0" fontId="8" fillId="7" borderId="42" xfId="0" applyFont="1" applyFill="1" applyBorder="1" applyAlignment="1">
      <alignment horizontal="left" vertical="top" wrapText="1"/>
    </xf>
    <xf numFmtId="2" fontId="13" fillId="7" borderId="41" xfId="0" applyNumberFormat="1" applyFont="1" applyFill="1" applyBorder="1" applyAlignment="1">
      <alignment horizontal="right" vertical="top" wrapText="1"/>
    </xf>
    <xf numFmtId="0" fontId="8" fillId="7" borderId="17" xfId="0" applyFont="1" applyFill="1" applyBorder="1" applyAlignment="1">
      <alignment vertical="top" wrapText="1"/>
    </xf>
    <xf numFmtId="0" fontId="8" fillId="7" borderId="17" xfId="0" applyFont="1" applyFill="1" applyBorder="1" applyAlignment="1">
      <alignment horizontal="left" vertical="top" wrapText="1"/>
    </xf>
    <xf numFmtId="0" fontId="13" fillId="6" borderId="41" xfId="0" applyFont="1" applyFill="1" applyBorder="1" applyAlignment="1">
      <alignment horizontal="left" vertical="top" wrapText="1"/>
    </xf>
    <xf numFmtId="0" fontId="13" fillId="7" borderId="45" xfId="0" applyFont="1" applyFill="1" applyBorder="1" applyAlignment="1">
      <alignment vertical="top" wrapText="1"/>
    </xf>
    <xf numFmtId="0" fontId="13" fillId="7" borderId="32" xfId="0" applyFont="1" applyFill="1" applyBorder="1" applyAlignment="1">
      <alignment horizontal="right" vertical="top" wrapText="1"/>
    </xf>
    <xf numFmtId="0" fontId="13" fillId="7" borderId="46" xfId="0" applyFont="1" applyFill="1" applyBorder="1" applyAlignment="1">
      <alignment vertical="top" wrapText="1"/>
    </xf>
    <xf numFmtId="0" fontId="13" fillId="7" borderId="32" xfId="0" applyFont="1" applyFill="1" applyBorder="1" applyAlignment="1">
      <alignment horizontal="left" vertical="top" wrapText="1"/>
    </xf>
    <xf numFmtId="0" fontId="13" fillId="7" borderId="19" xfId="0" applyFont="1" applyFill="1" applyBorder="1" applyAlignment="1">
      <alignment horizontal="left" vertical="top" wrapText="1"/>
    </xf>
    <xf numFmtId="0" fontId="13" fillId="7" borderId="47" xfId="0" applyFont="1" applyFill="1" applyBorder="1" applyAlignment="1">
      <alignment vertical="top" wrapText="1"/>
    </xf>
    <xf numFmtId="9" fontId="13" fillId="7" borderId="41" xfId="0" applyNumberFormat="1" applyFont="1" applyFill="1" applyBorder="1" applyAlignment="1">
      <alignment horizontal="left" vertical="top" wrapText="1"/>
    </xf>
    <xf numFmtId="0" fontId="13" fillId="7" borderId="48" xfId="0" applyFont="1" applyFill="1" applyBorder="1" applyAlignment="1">
      <alignment horizontal="left" vertical="top" wrapText="1"/>
    </xf>
    <xf numFmtId="0" fontId="13" fillId="7" borderId="48" xfId="0" applyFont="1" applyFill="1" applyBorder="1" applyAlignment="1">
      <alignment vertical="top" wrapText="1"/>
    </xf>
    <xf numFmtId="0" fontId="7" fillId="3" borderId="26" xfId="1" applyFont="1" applyFill="1" applyBorder="1" applyAlignment="1" applyProtection="1">
      <alignment horizontal="center" vertical="center" textRotation="255"/>
    </xf>
    <xf numFmtId="0" fontId="7" fillId="3" borderId="28" xfId="1" applyFont="1" applyFill="1" applyBorder="1" applyAlignment="1" applyProtection="1">
      <alignment horizontal="center" vertical="center" textRotation="255"/>
    </xf>
    <xf numFmtId="0" fontId="7" fillId="3" borderId="36" xfId="1" applyFont="1" applyFill="1" applyBorder="1" applyAlignment="1" applyProtection="1">
      <alignment horizontal="center" vertical="center" textRotation="255"/>
    </xf>
    <xf numFmtId="18" fontId="8" fillId="4" borderId="14" xfId="1" applyNumberFormat="1" applyFont="1" applyFill="1" applyBorder="1" applyAlignment="1" applyProtection="1">
      <alignment horizontal="center"/>
    </xf>
    <xf numFmtId="18" fontId="8" fillId="4" borderId="16" xfId="1" applyNumberFormat="1" applyFont="1" applyFill="1" applyBorder="1" applyAlignment="1" applyProtection="1">
      <alignment horizontal="center"/>
    </xf>
    <xf numFmtId="0" fontId="7" fillId="3" borderId="14" xfId="1" applyFont="1" applyFill="1" applyBorder="1" applyAlignment="1" applyProtection="1">
      <alignment horizontal="left"/>
    </xf>
    <xf numFmtId="0" fontId="7" fillId="3" borderId="16" xfId="1" applyFont="1" applyFill="1" applyBorder="1" applyAlignment="1" applyProtection="1">
      <alignment horizontal="left"/>
    </xf>
    <xf numFmtId="0" fontId="7" fillId="3" borderId="15" xfId="1" applyFont="1" applyFill="1" applyBorder="1" applyAlignment="1" applyProtection="1">
      <alignment horizontal="left"/>
    </xf>
    <xf numFmtId="164" fontId="6" fillId="0" borderId="22" xfId="1" applyNumberFormat="1" applyFont="1" applyBorder="1" applyAlignment="1" applyProtection="1">
      <alignment horizontal="center" vertical="center" textRotation="90"/>
    </xf>
    <xf numFmtId="164" fontId="6" fillId="0" borderId="25" xfId="1" applyNumberFormat="1" applyFont="1" applyBorder="1" applyAlignment="1" applyProtection="1">
      <alignment horizontal="center" vertical="center" textRotation="90"/>
    </xf>
    <xf numFmtId="164" fontId="6" fillId="0" borderId="32" xfId="1" applyNumberFormat="1" applyFont="1" applyBorder="1" applyAlignment="1" applyProtection="1">
      <alignment horizontal="center" vertical="center" textRotation="90"/>
    </xf>
    <xf numFmtId="0" fontId="5" fillId="0" borderId="14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4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6" fillId="0" borderId="22" xfId="1" applyFont="1" applyBorder="1" applyAlignment="1" applyProtection="1">
      <alignment horizontal="left" vertical="center" wrapText="1"/>
    </xf>
    <xf numFmtId="0" fontId="6" fillId="0" borderId="32" xfId="1" applyFont="1" applyBorder="1" applyAlignment="1" applyProtection="1">
      <alignment horizontal="left" vertical="center" wrapText="1"/>
    </xf>
    <xf numFmtId="0" fontId="4" fillId="0" borderId="14" xfId="0" applyFont="1" applyBorder="1" applyAlignment="1">
      <alignment horizontal="right"/>
    </xf>
    <xf numFmtId="0" fontId="4" fillId="0" borderId="15" xfId="0" applyFont="1" applyBorder="1" applyAlignment="1">
      <alignment horizontal="right"/>
    </xf>
    <xf numFmtId="0" fontId="6" fillId="0" borderId="13" xfId="1" applyFont="1" applyBorder="1" applyAlignment="1" applyProtection="1">
      <alignment horizontal="center" vertical="center" wrapText="1"/>
    </xf>
    <xf numFmtId="0" fontId="6" fillId="0" borderId="18" xfId="1" applyFont="1" applyBorder="1" applyAlignment="1" applyProtection="1">
      <alignment horizontal="center" vertical="center" wrapText="1"/>
    </xf>
    <xf numFmtId="0" fontId="6" fillId="0" borderId="20" xfId="1" applyFont="1" applyBorder="1" applyAlignment="1" applyProtection="1">
      <alignment horizontal="center" vertical="center" wrapText="1"/>
    </xf>
    <xf numFmtId="0" fontId="6" fillId="0" borderId="22" xfId="1" applyFont="1" applyBorder="1" applyAlignment="1" applyProtection="1">
      <alignment horizontal="center" vertical="center" textRotation="90" wrapText="1"/>
    </xf>
    <xf numFmtId="0" fontId="6" fillId="0" borderId="25" xfId="1" applyFont="1" applyBorder="1" applyAlignment="1" applyProtection="1">
      <alignment horizontal="center" vertical="center" textRotation="90" wrapText="1"/>
    </xf>
    <xf numFmtId="0" fontId="6" fillId="0" borderId="32" xfId="1" applyFont="1" applyBorder="1" applyAlignment="1" applyProtection="1">
      <alignment horizontal="center" vertical="center" textRotation="90" wrapText="1"/>
    </xf>
    <xf numFmtId="0" fontId="6" fillId="0" borderId="21" xfId="1" applyFont="1" applyBorder="1" applyAlignment="1" applyProtection="1">
      <alignment horizontal="center" vertical="center"/>
    </xf>
    <xf numFmtId="0" fontId="6" fillId="0" borderId="16" xfId="1" applyFont="1" applyBorder="1" applyAlignment="1" applyProtection="1">
      <alignment horizontal="center" vertical="center"/>
    </xf>
    <xf numFmtId="0" fontId="6" fillId="0" borderId="15" xfId="1" applyFont="1" applyBorder="1" applyAlignment="1" applyProtection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2" borderId="7" xfId="0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 vertical="center" textRotation="90" wrapText="1"/>
    </xf>
    <xf numFmtId="0" fontId="10" fillId="0" borderId="32" xfId="0" applyFont="1" applyBorder="1" applyAlignment="1">
      <alignment horizontal="center" vertical="center" textRotation="90" wrapText="1"/>
    </xf>
    <xf numFmtId="0" fontId="10" fillId="0" borderId="22" xfId="0" applyFont="1" applyBorder="1" applyAlignment="1">
      <alignment horizontal="center" vertical="center" textRotation="90"/>
    </xf>
    <xf numFmtId="0" fontId="10" fillId="0" borderId="25" xfId="0" applyFont="1" applyBorder="1" applyAlignment="1">
      <alignment horizontal="center" vertical="center" textRotation="90"/>
    </xf>
    <xf numFmtId="0" fontId="10" fillId="0" borderId="32" xfId="0" applyFont="1" applyBorder="1" applyAlignment="1">
      <alignment horizontal="center" vertical="center" textRotation="90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7" borderId="49" xfId="0" applyFont="1" applyFill="1" applyBorder="1" applyAlignment="1">
      <alignment horizontal="left" vertical="top" wrapText="1"/>
    </xf>
    <xf numFmtId="0" fontId="13" fillId="6" borderId="45" xfId="0" applyFont="1" applyFill="1" applyBorder="1" applyAlignment="1">
      <alignment vertical="top" wrapText="1"/>
    </xf>
    <xf numFmtId="0" fontId="15" fillId="7" borderId="41" xfId="0" applyFont="1" applyFill="1" applyBorder="1" applyAlignment="1">
      <alignment horizontal="left" vertical="top" wrapText="1"/>
    </xf>
    <xf numFmtId="0" fontId="13" fillId="0" borderId="15" xfId="0" applyFont="1" applyBorder="1" applyAlignment="1">
      <alignment wrapText="1"/>
    </xf>
    <xf numFmtId="0" fontId="10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" fillId="9" borderId="14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3" fillId="8" borderId="0" xfId="0" applyFont="1" applyFill="1" applyAlignment="1"/>
    <xf numFmtId="0" fontId="3" fillId="2" borderId="11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righ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89813</xdr:colOff>
      <xdr:row>0</xdr:row>
      <xdr:rowOff>0</xdr:rowOff>
    </xdr:from>
    <xdr:to>
      <xdr:col>36</xdr:col>
      <xdr:colOff>178944</xdr:colOff>
      <xdr:row>7</xdr:row>
      <xdr:rowOff>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0208676" y="66675"/>
          <a:ext cx="1305908" cy="130759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528166</xdr:colOff>
      <xdr:row>0</xdr:row>
      <xdr:rowOff>12501</xdr:rowOff>
    </xdr:from>
    <xdr:to>
      <xdr:col>1</xdr:col>
      <xdr:colOff>437946</xdr:colOff>
      <xdr:row>7</xdr:row>
      <xdr:rowOff>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3400" y="76200"/>
          <a:ext cx="1310640" cy="13106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13"/>
  <sheetViews>
    <sheetView zoomScale="115" zoomScaleNormal="115" workbookViewId="0">
      <selection activeCell="F5" sqref="F5"/>
    </sheetView>
  </sheetViews>
  <sheetFormatPr defaultColWidth="9" defaultRowHeight="15" x14ac:dyDescent="0.2"/>
  <cols>
    <col min="1" max="1" width="12.625" style="1" customWidth="1"/>
    <col min="2" max="2" width="27.125" style="1" customWidth="1"/>
    <col min="3" max="3" width="12.875" style="1" customWidth="1"/>
    <col min="4" max="4" width="13.25" style="1" customWidth="1"/>
    <col min="5" max="5" width="20.375" style="1" customWidth="1"/>
    <col min="6" max="6" width="14.25" style="1" customWidth="1"/>
    <col min="7" max="7" width="15.25" style="1" customWidth="1"/>
    <col min="8" max="8" width="13.625" style="1" customWidth="1"/>
    <col min="9" max="9" width="14.25" style="1" customWidth="1"/>
    <col min="10" max="11" width="11.125" style="1" customWidth="1"/>
    <col min="12" max="12" width="17.625" style="1" customWidth="1"/>
    <col min="13" max="13" width="11.25" style="1" customWidth="1"/>
    <col min="14" max="14" width="10.875" style="1" customWidth="1"/>
    <col min="15" max="15" width="10.75" style="1" customWidth="1"/>
    <col min="16" max="251" width="9.125" style="1" customWidth="1"/>
  </cols>
  <sheetData>
    <row r="1" spans="1:13" x14ac:dyDescent="0.2">
      <c r="A1" s="126" t="s">
        <v>29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2"/>
    </row>
    <row r="2" spans="1:13" x14ac:dyDescent="0.2">
      <c r="A2" s="126" t="s">
        <v>30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2"/>
    </row>
    <row r="3" spans="1:13" x14ac:dyDescent="0.2">
      <c r="A3" s="126" t="s">
        <v>141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</row>
    <row r="4" spans="1:13" ht="15.75" thickBo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 t="s">
        <v>140</v>
      </c>
    </row>
    <row r="5" spans="1:13" ht="30.75" thickBot="1" x14ac:dyDescent="0.25">
      <c r="A5" s="8" t="s">
        <v>163</v>
      </c>
      <c r="B5" s="17"/>
      <c r="F5" s="8" t="s">
        <v>31</v>
      </c>
      <c r="G5" s="17"/>
      <c r="J5" s="10" t="s">
        <v>165</v>
      </c>
      <c r="K5" s="17"/>
      <c r="L5" s="10" t="s">
        <v>164</v>
      </c>
      <c r="M5" s="17"/>
    </row>
    <row r="6" spans="1:13" ht="15.75" thickBot="1" x14ac:dyDescent="0.25"/>
    <row r="7" spans="1:13" s="5" customFormat="1" ht="14.25" customHeight="1" thickBot="1" x14ac:dyDescent="0.25">
      <c r="F7" s="119" t="s">
        <v>36</v>
      </c>
      <c r="G7" s="119"/>
      <c r="H7" s="119"/>
      <c r="I7" s="120" t="s">
        <v>37</v>
      </c>
      <c r="J7" s="122" t="s">
        <v>38</v>
      </c>
      <c r="K7" s="124" t="s">
        <v>39</v>
      </c>
      <c r="L7" s="6" t="s">
        <v>40</v>
      </c>
      <c r="M7" s="117" t="s">
        <v>41</v>
      </c>
    </row>
    <row r="8" spans="1:13" s="7" customFormat="1" ht="45.75" thickBot="1" x14ac:dyDescent="0.3">
      <c r="A8" s="8" t="s">
        <v>32</v>
      </c>
      <c r="B8" s="9" t="s">
        <v>48</v>
      </c>
      <c r="C8" s="9" t="s">
        <v>33</v>
      </c>
      <c r="D8" s="9" t="s">
        <v>34</v>
      </c>
      <c r="E8" s="9" t="s">
        <v>35</v>
      </c>
      <c r="F8" s="10" t="s">
        <v>42</v>
      </c>
      <c r="G8" s="10" t="s">
        <v>43</v>
      </c>
      <c r="H8" s="10" t="s">
        <v>44</v>
      </c>
      <c r="I8" s="121"/>
      <c r="J8" s="123"/>
      <c r="K8" s="125"/>
      <c r="L8" s="10" t="s">
        <v>45</v>
      </c>
      <c r="M8" s="118"/>
    </row>
    <row r="9" spans="1:13" ht="28.5" x14ac:dyDescent="0.2">
      <c r="A9" s="11" t="s">
        <v>156</v>
      </c>
      <c r="B9" s="12" t="s">
        <v>157</v>
      </c>
      <c r="C9" s="13"/>
      <c r="D9" s="13">
        <v>7</v>
      </c>
      <c r="E9" s="11" t="s">
        <v>158</v>
      </c>
      <c r="F9" s="14">
        <v>0.33333333333333331</v>
      </c>
      <c r="G9" s="13">
        <v>0</v>
      </c>
      <c r="H9" s="14">
        <v>0.33333333333333331</v>
      </c>
      <c r="I9" s="15">
        <v>2.3333333333333335</v>
      </c>
      <c r="J9" s="13" t="s">
        <v>159</v>
      </c>
      <c r="K9" s="13" t="s">
        <v>160</v>
      </c>
      <c r="L9" s="16">
        <v>0.42899999999999999</v>
      </c>
      <c r="M9" s="13" t="s">
        <v>161</v>
      </c>
    </row>
    <row r="10" spans="1:13" x14ac:dyDescent="0.2">
      <c r="A10" s="17"/>
      <c r="B10" s="17"/>
      <c r="C10" s="17"/>
      <c r="D10" s="17"/>
      <c r="E10" s="17"/>
      <c r="F10" s="17"/>
      <c r="G10" s="17"/>
      <c r="H10" s="13">
        <f>F10+G10</f>
        <v>0</v>
      </c>
      <c r="I10" s="13"/>
      <c r="J10" s="17"/>
      <c r="K10" s="13"/>
      <c r="L10" s="16" t="s">
        <v>162</v>
      </c>
      <c r="M10" s="17"/>
    </row>
    <row r="11" spans="1:13" x14ac:dyDescent="0.2">
      <c r="A11" s="17"/>
      <c r="B11" s="17"/>
      <c r="C11" s="17"/>
      <c r="D11" s="17"/>
      <c r="E11" s="17"/>
      <c r="F11" s="17"/>
      <c r="G11" s="17"/>
      <c r="H11" s="13"/>
      <c r="I11" s="13">
        <f>D11*F11</f>
        <v>0</v>
      </c>
      <c r="J11" s="17"/>
      <c r="K11" s="13"/>
      <c r="L11" s="16"/>
      <c r="M11" s="17"/>
    </row>
    <row r="12" spans="1:13" x14ac:dyDescent="0.2">
      <c r="A12" s="17"/>
      <c r="B12" s="17"/>
      <c r="C12" s="17"/>
      <c r="D12" s="17"/>
      <c r="E12" s="17"/>
      <c r="F12" s="17"/>
      <c r="G12" s="17"/>
      <c r="H12" s="13">
        <f>F12+G12</f>
        <v>0</v>
      </c>
      <c r="I12" s="13">
        <f>D12*F12</f>
        <v>0</v>
      </c>
      <c r="J12" s="17"/>
      <c r="K12" s="13"/>
      <c r="L12" s="16"/>
      <c r="M12" s="17"/>
    </row>
    <row r="13" spans="1:13" x14ac:dyDescent="0.2">
      <c r="A13" s="17"/>
      <c r="B13" s="17"/>
      <c r="C13" s="17"/>
      <c r="D13" s="17"/>
      <c r="E13" s="17"/>
      <c r="F13" s="17"/>
      <c r="G13" s="17"/>
      <c r="H13" s="13">
        <f>F13+G13</f>
        <v>0</v>
      </c>
      <c r="I13" s="13">
        <f>D13*F13</f>
        <v>0</v>
      </c>
      <c r="J13" s="17"/>
      <c r="K13" s="13"/>
      <c r="L13" s="16"/>
      <c r="M13" s="17"/>
    </row>
  </sheetData>
  <mergeCells count="8">
    <mergeCell ref="A1:L1"/>
    <mergeCell ref="A2:L2"/>
    <mergeCell ref="A3:L3"/>
    <mergeCell ref="M7:M8"/>
    <mergeCell ref="F7:H7"/>
    <mergeCell ref="I7:I8"/>
    <mergeCell ref="J7:J8"/>
    <mergeCell ref="K7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56"/>
  <sheetViews>
    <sheetView zoomScaleNormal="100" workbookViewId="0">
      <selection activeCell="B26" sqref="B26"/>
    </sheetView>
  </sheetViews>
  <sheetFormatPr defaultColWidth="9" defaultRowHeight="15" x14ac:dyDescent="0.2"/>
  <cols>
    <col min="1" max="1" width="13.625" style="1" customWidth="1"/>
    <col min="2" max="2" width="9.125" style="1" customWidth="1"/>
    <col min="3" max="3" width="11.875" style="1" customWidth="1"/>
    <col min="4" max="4" width="9.125" style="1" customWidth="1"/>
    <col min="5" max="5" width="20.375" style="1" customWidth="1"/>
    <col min="6" max="33" width="4.375" style="1" customWidth="1"/>
    <col min="34" max="41" width="4.625" style="1" customWidth="1"/>
    <col min="42" max="256" width="9.125" style="1" customWidth="1"/>
  </cols>
  <sheetData>
    <row r="1" spans="1:41" customFormat="1" x14ac:dyDescent="0.25">
      <c r="B1" s="111"/>
      <c r="C1" s="112"/>
      <c r="D1" s="100"/>
      <c r="E1" s="101"/>
      <c r="F1" s="95" t="s">
        <v>49</v>
      </c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7"/>
      <c r="AH1" s="1"/>
      <c r="AI1" s="1"/>
      <c r="AJ1" s="1"/>
      <c r="AK1" s="1"/>
      <c r="AL1" s="1"/>
      <c r="AM1" s="1"/>
      <c r="AN1" s="1"/>
      <c r="AO1" s="1"/>
    </row>
    <row r="2" spans="1:41" customFormat="1" x14ac:dyDescent="0.25">
      <c r="B2" s="113"/>
      <c r="C2" s="114"/>
      <c r="D2" s="100"/>
      <c r="E2" s="101"/>
      <c r="F2" s="95" t="s">
        <v>28</v>
      </c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7"/>
      <c r="AH2" s="1"/>
      <c r="AI2" s="1"/>
      <c r="AJ2" s="1"/>
      <c r="AK2" s="1"/>
      <c r="AL2" s="1"/>
      <c r="AM2" s="1"/>
      <c r="AN2" s="1"/>
      <c r="AO2" s="1"/>
    </row>
    <row r="3" spans="1:41" customFormat="1" x14ac:dyDescent="0.25">
      <c r="B3" s="113"/>
      <c r="C3" s="114"/>
      <c r="D3" s="93" t="s">
        <v>50</v>
      </c>
      <c r="E3" s="94"/>
      <c r="F3" s="95" t="s">
        <v>145</v>
      </c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7"/>
      <c r="AH3" s="1"/>
      <c r="AI3" s="1"/>
      <c r="AJ3" s="1"/>
      <c r="AK3" s="1"/>
      <c r="AL3" s="1"/>
      <c r="AM3" s="1"/>
      <c r="AN3" s="1"/>
      <c r="AO3" s="1"/>
    </row>
    <row r="4" spans="1:41" customFormat="1" x14ac:dyDescent="0.25">
      <c r="B4" s="113"/>
      <c r="C4" s="114"/>
      <c r="D4" s="93" t="s">
        <v>51</v>
      </c>
      <c r="E4" s="94"/>
      <c r="F4" s="95" t="s">
        <v>52</v>
      </c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7"/>
      <c r="AH4" s="1"/>
      <c r="AI4" s="1"/>
      <c r="AJ4" s="1"/>
      <c r="AK4" s="1"/>
      <c r="AL4" s="1"/>
      <c r="AM4" s="1"/>
      <c r="AN4" s="1"/>
      <c r="AO4" s="1"/>
    </row>
    <row r="5" spans="1:41" customFormat="1" x14ac:dyDescent="0.25">
      <c r="B5" s="113"/>
      <c r="C5" s="114"/>
      <c r="D5" s="93" t="s">
        <v>53</v>
      </c>
      <c r="E5" s="94"/>
      <c r="F5" s="95" t="s">
        <v>54</v>
      </c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7"/>
      <c r="AH5" s="1"/>
      <c r="AI5" s="1"/>
      <c r="AJ5" s="1"/>
      <c r="AK5" s="1"/>
      <c r="AL5" s="1"/>
      <c r="AM5" s="1"/>
      <c r="AN5" s="1"/>
      <c r="AO5" s="1"/>
    </row>
    <row r="6" spans="1:41" customFormat="1" x14ac:dyDescent="0.25">
      <c r="B6" s="113"/>
      <c r="C6" s="114"/>
      <c r="D6" s="93" t="s">
        <v>55</v>
      </c>
      <c r="E6" s="94"/>
      <c r="F6" s="95" t="s">
        <v>56</v>
      </c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7"/>
      <c r="AH6" s="1"/>
      <c r="AI6" s="1"/>
      <c r="AJ6" s="1"/>
      <c r="AK6" s="1"/>
      <c r="AL6" s="1"/>
      <c r="AM6" s="1"/>
      <c r="AN6" s="1"/>
      <c r="AO6" s="1"/>
    </row>
    <row r="7" spans="1:41" customFormat="1" x14ac:dyDescent="0.25">
      <c r="B7" s="115"/>
      <c r="C7" s="116"/>
      <c r="D7" s="93" t="s">
        <v>57</v>
      </c>
      <c r="E7" s="94"/>
      <c r="F7" s="95" t="s">
        <v>58</v>
      </c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7"/>
      <c r="AH7" s="1"/>
      <c r="AI7" s="1"/>
      <c r="AJ7" s="1"/>
      <c r="AK7" s="1"/>
      <c r="AL7" s="1"/>
      <c r="AM7" s="1"/>
      <c r="AN7" s="1"/>
      <c r="AO7" s="1"/>
    </row>
    <row r="9" spans="1:41" ht="15.75" x14ac:dyDescent="0.25">
      <c r="A9" s="108" t="s">
        <v>59</v>
      </c>
      <c r="B9" s="109"/>
      <c r="C9" s="110"/>
      <c r="D9" s="87" t="s">
        <v>60</v>
      </c>
      <c r="E9" s="89"/>
      <c r="F9" s="85" t="s">
        <v>147</v>
      </c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5" t="s">
        <v>146</v>
      </c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22.5" customHeight="1" x14ac:dyDescent="0.25">
      <c r="A10" s="18" t="s">
        <v>72</v>
      </c>
      <c r="C10" s="90" t="s">
        <v>26</v>
      </c>
      <c r="D10" s="87" t="s">
        <v>46</v>
      </c>
      <c r="E10" s="88"/>
      <c r="F10" s="19">
        <v>1</v>
      </c>
      <c r="G10" s="20">
        <v>2</v>
      </c>
      <c r="H10" s="20">
        <v>3</v>
      </c>
      <c r="I10" s="20">
        <v>4</v>
      </c>
      <c r="J10" s="20">
        <v>5</v>
      </c>
      <c r="K10" s="20">
        <v>6</v>
      </c>
      <c r="L10" s="20">
        <v>7</v>
      </c>
      <c r="M10" s="20">
        <v>8</v>
      </c>
      <c r="N10" s="20">
        <v>9</v>
      </c>
      <c r="O10" s="20">
        <v>10</v>
      </c>
      <c r="P10" s="20">
        <v>11</v>
      </c>
      <c r="Q10" s="20">
        <v>12</v>
      </c>
      <c r="R10" s="20">
        <v>13</v>
      </c>
      <c r="S10" s="20">
        <v>14</v>
      </c>
      <c r="T10" s="20">
        <v>15</v>
      </c>
      <c r="U10" s="20">
        <v>16</v>
      </c>
      <c r="V10" s="20">
        <v>17</v>
      </c>
      <c r="W10" s="21">
        <v>18</v>
      </c>
      <c r="X10" s="19">
        <v>1</v>
      </c>
      <c r="Y10" s="20">
        <v>2</v>
      </c>
      <c r="Z10" s="20">
        <v>3</v>
      </c>
      <c r="AA10" s="20">
        <v>4</v>
      </c>
      <c r="AB10" s="20">
        <v>5</v>
      </c>
      <c r="AC10" s="20">
        <v>6</v>
      </c>
      <c r="AD10" s="20">
        <v>7</v>
      </c>
      <c r="AE10" s="20">
        <v>8</v>
      </c>
      <c r="AF10" s="20">
        <v>9</v>
      </c>
      <c r="AG10" s="20">
        <v>10</v>
      </c>
      <c r="AH10" s="20">
        <v>11</v>
      </c>
      <c r="AI10" s="20">
        <v>12</v>
      </c>
      <c r="AJ10" s="20">
        <v>13</v>
      </c>
      <c r="AK10" s="20">
        <v>14</v>
      </c>
      <c r="AL10" s="20">
        <v>15</v>
      </c>
      <c r="AM10" s="20">
        <v>16</v>
      </c>
      <c r="AN10" s="20">
        <v>17</v>
      </c>
      <c r="AO10" s="21">
        <v>18</v>
      </c>
    </row>
    <row r="11" spans="1:41" ht="18.75" customHeight="1" x14ac:dyDescent="0.25">
      <c r="A11" s="18" t="s">
        <v>71</v>
      </c>
      <c r="B11" s="22"/>
      <c r="C11" s="91"/>
      <c r="D11" s="87" t="s">
        <v>61</v>
      </c>
      <c r="E11" s="88"/>
      <c r="F11" s="19">
        <v>1</v>
      </c>
      <c r="G11" s="20">
        <v>5</v>
      </c>
      <c r="H11" s="20">
        <v>7</v>
      </c>
      <c r="I11" s="20">
        <v>10</v>
      </c>
      <c r="J11" s="20">
        <v>13</v>
      </c>
      <c r="K11" s="20">
        <v>17</v>
      </c>
      <c r="L11" s="20">
        <v>20</v>
      </c>
      <c r="M11" s="20">
        <v>24</v>
      </c>
      <c r="N11" s="20">
        <v>27</v>
      </c>
      <c r="O11" s="20">
        <v>30</v>
      </c>
      <c r="P11" s="20">
        <v>33</v>
      </c>
      <c r="Q11" s="20">
        <v>36</v>
      </c>
      <c r="R11" s="20">
        <v>40</v>
      </c>
      <c r="S11" s="20">
        <v>43</v>
      </c>
      <c r="T11" s="20">
        <v>46</v>
      </c>
      <c r="U11" s="20">
        <v>49</v>
      </c>
      <c r="V11" s="20">
        <v>52</v>
      </c>
      <c r="W11" s="21">
        <v>59</v>
      </c>
      <c r="X11" s="19">
        <v>0</v>
      </c>
      <c r="Y11" s="23">
        <v>4</v>
      </c>
      <c r="Z11" s="20">
        <v>7</v>
      </c>
      <c r="AA11" s="20">
        <v>10</v>
      </c>
      <c r="AB11" s="20">
        <v>13</v>
      </c>
      <c r="AC11" s="20">
        <v>17</v>
      </c>
      <c r="AD11" s="20">
        <v>20</v>
      </c>
      <c r="AE11" s="20">
        <v>24</v>
      </c>
      <c r="AF11" s="20">
        <v>28</v>
      </c>
      <c r="AG11" s="20">
        <v>32</v>
      </c>
      <c r="AH11" s="20">
        <v>35</v>
      </c>
      <c r="AI11" s="20">
        <v>38</v>
      </c>
      <c r="AJ11" s="20">
        <v>41</v>
      </c>
      <c r="AK11" s="20">
        <v>42</v>
      </c>
      <c r="AL11" s="20">
        <v>45</v>
      </c>
      <c r="AM11" s="20">
        <v>48</v>
      </c>
      <c r="AN11" s="20">
        <v>51</v>
      </c>
      <c r="AO11" s="21">
        <v>53</v>
      </c>
    </row>
    <row r="12" spans="1:41" ht="14.25" customHeight="1" x14ac:dyDescent="0.2">
      <c r="A12" s="18" t="s">
        <v>73</v>
      </c>
      <c r="B12" s="24"/>
      <c r="C12" s="91"/>
      <c r="D12" s="82" t="s">
        <v>62</v>
      </c>
      <c r="E12" s="25" t="s">
        <v>63</v>
      </c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8"/>
      <c r="X12" s="26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8"/>
    </row>
    <row r="13" spans="1:41" ht="15" customHeight="1" x14ac:dyDescent="0.2">
      <c r="A13" s="98" t="s">
        <v>154</v>
      </c>
      <c r="B13" s="105" t="s">
        <v>155</v>
      </c>
      <c r="C13" s="91"/>
      <c r="D13" s="83"/>
      <c r="E13" s="29" t="s">
        <v>47</v>
      </c>
      <c r="F13" s="30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2"/>
      <c r="X13" s="30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2"/>
    </row>
    <row r="14" spans="1:41" ht="14.25" customHeight="1" x14ac:dyDescent="0.2">
      <c r="A14" s="99"/>
      <c r="B14" s="107"/>
      <c r="C14" s="91"/>
      <c r="D14" s="83"/>
      <c r="E14" s="29" t="s">
        <v>64</v>
      </c>
      <c r="F14" s="30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2"/>
      <c r="X14" s="30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2"/>
    </row>
    <row r="15" spans="1:41" ht="14.25" customHeight="1" x14ac:dyDescent="0.2">
      <c r="A15" s="102" t="s">
        <v>74</v>
      </c>
      <c r="B15" s="105"/>
      <c r="C15" s="91"/>
      <c r="D15" s="83"/>
      <c r="E15" s="29" t="s">
        <v>65</v>
      </c>
      <c r="F15" s="30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2"/>
      <c r="X15" s="30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2"/>
    </row>
    <row r="16" spans="1:41" ht="14.25" customHeight="1" x14ac:dyDescent="0.2">
      <c r="A16" s="103"/>
      <c r="B16" s="106"/>
      <c r="C16" s="91"/>
      <c r="D16" s="83"/>
      <c r="E16" s="29" t="s">
        <v>66</v>
      </c>
      <c r="F16" s="30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2"/>
      <c r="X16" s="30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2"/>
    </row>
    <row r="17" spans="1:41" ht="15" customHeight="1" x14ac:dyDescent="0.2">
      <c r="A17" s="103"/>
      <c r="B17" s="106"/>
      <c r="C17" s="91"/>
      <c r="D17" s="83"/>
      <c r="E17" s="29" t="s">
        <v>67</v>
      </c>
      <c r="F17" s="30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2"/>
      <c r="X17" s="30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2"/>
    </row>
    <row r="18" spans="1:41" ht="15.75" customHeight="1" x14ac:dyDescent="0.2">
      <c r="A18" s="103"/>
      <c r="B18" s="106"/>
      <c r="C18" s="91"/>
      <c r="D18" s="83"/>
      <c r="E18" s="29" t="s">
        <v>69</v>
      </c>
      <c r="F18" s="33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5"/>
      <c r="X18" s="33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5"/>
    </row>
    <row r="19" spans="1:41" ht="15.75" customHeight="1" x14ac:dyDescent="0.2">
      <c r="A19" s="104"/>
      <c r="B19" s="107"/>
      <c r="C19" s="92"/>
      <c r="D19" s="84"/>
      <c r="E19" s="36" t="s">
        <v>70</v>
      </c>
      <c r="F19" s="37">
        <f>SUM(F12:F18)</f>
        <v>0</v>
      </c>
      <c r="G19" s="38">
        <f t="shared" ref="G19:W19" si="0">SUM(G12:G18)</f>
        <v>0</v>
      </c>
      <c r="H19" s="38">
        <f t="shared" si="0"/>
        <v>0</v>
      </c>
      <c r="I19" s="38">
        <f t="shared" si="0"/>
        <v>0</v>
      </c>
      <c r="J19" s="38">
        <f t="shared" si="0"/>
        <v>0</v>
      </c>
      <c r="K19" s="38">
        <f t="shared" si="0"/>
        <v>0</v>
      </c>
      <c r="L19" s="38">
        <f t="shared" si="0"/>
        <v>0</v>
      </c>
      <c r="M19" s="38">
        <f t="shared" si="0"/>
        <v>0</v>
      </c>
      <c r="N19" s="38">
        <f t="shared" si="0"/>
        <v>0</v>
      </c>
      <c r="O19" s="38">
        <f t="shared" si="0"/>
        <v>0</v>
      </c>
      <c r="P19" s="38">
        <f t="shared" si="0"/>
        <v>0</v>
      </c>
      <c r="Q19" s="38">
        <f t="shared" si="0"/>
        <v>0</v>
      </c>
      <c r="R19" s="38">
        <f t="shared" si="0"/>
        <v>0</v>
      </c>
      <c r="S19" s="38">
        <f t="shared" si="0"/>
        <v>0</v>
      </c>
      <c r="T19" s="38">
        <f t="shared" si="0"/>
        <v>0</v>
      </c>
      <c r="U19" s="38">
        <f t="shared" si="0"/>
        <v>0</v>
      </c>
      <c r="V19" s="38">
        <f t="shared" si="0"/>
        <v>0</v>
      </c>
      <c r="W19" s="38">
        <f t="shared" si="0"/>
        <v>0</v>
      </c>
      <c r="X19" s="38">
        <f t="shared" ref="X19" si="1">SUM(X12:X18)</f>
        <v>0</v>
      </c>
      <c r="Y19" s="38">
        <f t="shared" ref="Y19" si="2">SUM(Y12:Y18)</f>
        <v>0</v>
      </c>
      <c r="Z19" s="38">
        <f t="shared" ref="Z19" si="3">SUM(Z12:Z18)</f>
        <v>0</v>
      </c>
      <c r="AA19" s="38">
        <f t="shared" ref="AA19" si="4">SUM(AA12:AA18)</f>
        <v>0</v>
      </c>
      <c r="AB19" s="38">
        <f t="shared" ref="AB19" si="5">SUM(AB12:AB18)</f>
        <v>0</v>
      </c>
      <c r="AC19" s="38">
        <f t="shared" ref="AC19" si="6">SUM(AC12:AC18)</f>
        <v>0</v>
      </c>
      <c r="AD19" s="38">
        <f t="shared" ref="AD19" si="7">SUM(AD12:AD18)</f>
        <v>0</v>
      </c>
      <c r="AE19" s="38">
        <f t="shared" ref="AE19" si="8">SUM(AE12:AE18)</f>
        <v>0</v>
      </c>
      <c r="AF19" s="38">
        <f t="shared" ref="AF19" si="9">SUM(AF12:AF18)</f>
        <v>0</v>
      </c>
      <c r="AG19" s="38">
        <f t="shared" ref="AG19" si="10">SUM(AG12:AG18)</f>
        <v>0</v>
      </c>
      <c r="AH19" s="38">
        <f t="shared" ref="AH19" si="11">SUM(AH12:AH18)</f>
        <v>0</v>
      </c>
      <c r="AI19" s="38">
        <f t="shared" ref="AI19" si="12">SUM(AI12:AI18)</f>
        <v>0</v>
      </c>
      <c r="AJ19" s="38">
        <f t="shared" ref="AJ19" si="13">SUM(AJ12:AJ18)</f>
        <v>0</v>
      </c>
      <c r="AK19" s="38">
        <f t="shared" ref="AK19" si="14">SUM(AK12:AK18)</f>
        <v>0</v>
      </c>
      <c r="AL19" s="38">
        <f t="shared" ref="AL19" si="15">SUM(AL12:AL18)</f>
        <v>0</v>
      </c>
      <c r="AM19" s="38">
        <f t="shared" ref="AM19" si="16">SUM(AM12:AM18)</f>
        <v>0</v>
      </c>
      <c r="AN19" s="38">
        <f t="shared" ref="AN19" si="17">SUM(AN12:AN18)</f>
        <v>0</v>
      </c>
      <c r="AO19" s="39">
        <f t="shared" ref="AO19" si="18">SUM(AO12:AO18)</f>
        <v>0</v>
      </c>
    </row>
    <row r="20" spans="1:41" ht="15.75" thickBot="1" x14ac:dyDescent="0.25"/>
    <row r="21" spans="1:41" ht="16.5" thickBot="1" x14ac:dyDescent="0.3">
      <c r="A21" s="142" t="s">
        <v>27</v>
      </c>
      <c r="B21" s="140"/>
      <c r="C21" s="141"/>
      <c r="D21" s="87" t="s">
        <v>60</v>
      </c>
      <c r="E21" s="89"/>
      <c r="F21" s="85" t="s">
        <v>148</v>
      </c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5" t="s">
        <v>149</v>
      </c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6.5" thickBot="1" x14ac:dyDescent="0.3">
      <c r="D22" s="87" t="s">
        <v>46</v>
      </c>
      <c r="E22" s="88"/>
      <c r="F22" s="19">
        <v>1</v>
      </c>
      <c r="G22" s="20">
        <v>2</v>
      </c>
      <c r="H22" s="20">
        <v>3</v>
      </c>
      <c r="I22" s="20">
        <v>4</v>
      </c>
      <c r="J22" s="20">
        <v>5</v>
      </c>
      <c r="K22" s="20">
        <v>6</v>
      </c>
      <c r="L22" s="20">
        <v>7</v>
      </c>
      <c r="M22" s="20">
        <v>8</v>
      </c>
      <c r="N22" s="20">
        <v>9</v>
      </c>
      <c r="O22" s="20">
        <v>10</v>
      </c>
      <c r="P22" s="20">
        <v>11</v>
      </c>
      <c r="Q22" s="20">
        <v>12</v>
      </c>
      <c r="R22" s="20">
        <v>13</v>
      </c>
      <c r="S22" s="20">
        <v>14</v>
      </c>
      <c r="T22" s="20">
        <v>15</v>
      </c>
      <c r="U22" s="20">
        <v>16</v>
      </c>
      <c r="V22" s="20">
        <v>17</v>
      </c>
      <c r="W22" s="21">
        <v>18</v>
      </c>
      <c r="X22" s="19">
        <v>1</v>
      </c>
      <c r="Y22" s="20">
        <v>2</v>
      </c>
      <c r="Z22" s="20">
        <v>3</v>
      </c>
      <c r="AA22" s="20">
        <v>4</v>
      </c>
      <c r="AB22" s="20">
        <v>5</v>
      </c>
      <c r="AC22" s="20">
        <v>6</v>
      </c>
      <c r="AD22" s="20">
        <v>7</v>
      </c>
      <c r="AE22" s="20">
        <v>8</v>
      </c>
      <c r="AF22" s="20">
        <v>9</v>
      </c>
      <c r="AG22" s="20">
        <v>10</v>
      </c>
      <c r="AH22" s="20">
        <v>11</v>
      </c>
      <c r="AI22" s="20">
        <v>12</v>
      </c>
      <c r="AJ22" s="20">
        <v>13</v>
      </c>
      <c r="AK22" s="20">
        <v>14</v>
      </c>
      <c r="AL22" s="20">
        <v>15</v>
      </c>
      <c r="AM22" s="20">
        <v>16</v>
      </c>
      <c r="AN22" s="20">
        <v>17</v>
      </c>
      <c r="AO22" s="21">
        <v>18</v>
      </c>
    </row>
    <row r="23" spans="1:41" ht="15.75" x14ac:dyDescent="0.25">
      <c r="D23" s="87" t="s">
        <v>61</v>
      </c>
      <c r="E23" s="88"/>
      <c r="F23" s="19">
        <v>0</v>
      </c>
      <c r="G23" s="20">
        <v>3</v>
      </c>
      <c r="H23" s="20">
        <v>7</v>
      </c>
      <c r="I23" s="20">
        <v>10</v>
      </c>
      <c r="J23" s="20">
        <v>14</v>
      </c>
      <c r="K23" s="20">
        <v>17</v>
      </c>
      <c r="L23" s="20">
        <v>20</v>
      </c>
      <c r="M23" s="20">
        <v>23</v>
      </c>
      <c r="N23" s="20">
        <v>27</v>
      </c>
      <c r="O23" s="20">
        <v>30</v>
      </c>
      <c r="P23" s="20">
        <v>34</v>
      </c>
      <c r="Q23" s="20">
        <v>37</v>
      </c>
      <c r="R23" s="20">
        <v>40</v>
      </c>
      <c r="S23" s="20">
        <v>44</v>
      </c>
      <c r="T23" s="20">
        <v>48</v>
      </c>
      <c r="U23" s="20">
        <v>52</v>
      </c>
      <c r="V23" s="20">
        <v>55</v>
      </c>
      <c r="W23" s="21">
        <v>59</v>
      </c>
      <c r="X23" s="19">
        <v>3</v>
      </c>
      <c r="Y23" s="20">
        <v>6</v>
      </c>
      <c r="Z23" s="20">
        <v>9</v>
      </c>
      <c r="AA23" s="20">
        <v>12</v>
      </c>
      <c r="AB23" s="20">
        <v>15</v>
      </c>
      <c r="AC23" s="20">
        <v>18</v>
      </c>
      <c r="AD23" s="20">
        <v>22</v>
      </c>
      <c r="AE23" s="20">
        <v>25</v>
      </c>
      <c r="AF23" s="20">
        <v>28</v>
      </c>
      <c r="AG23" s="20">
        <v>31</v>
      </c>
      <c r="AH23" s="20">
        <v>34</v>
      </c>
      <c r="AI23" s="20">
        <v>37</v>
      </c>
      <c r="AJ23" s="20">
        <v>40</v>
      </c>
      <c r="AK23" s="20">
        <v>44</v>
      </c>
      <c r="AL23" s="20">
        <v>47</v>
      </c>
      <c r="AM23" s="20">
        <v>50</v>
      </c>
      <c r="AN23" s="20">
        <v>53</v>
      </c>
      <c r="AO23" s="21">
        <v>57</v>
      </c>
    </row>
    <row r="24" spans="1:41" x14ac:dyDescent="0.2">
      <c r="D24" s="82" t="s">
        <v>62</v>
      </c>
      <c r="E24" s="25" t="s">
        <v>63</v>
      </c>
      <c r="F24" s="26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8"/>
      <c r="X24" s="26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8"/>
    </row>
    <row r="25" spans="1:41" x14ac:dyDescent="0.2">
      <c r="D25" s="83"/>
      <c r="E25" s="29" t="s">
        <v>47</v>
      </c>
      <c r="F25" s="30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2"/>
      <c r="X25" s="30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2"/>
    </row>
    <row r="26" spans="1:41" x14ac:dyDescent="0.2">
      <c r="D26" s="83"/>
      <c r="E26" s="29" t="s">
        <v>64</v>
      </c>
      <c r="F26" s="30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2"/>
      <c r="X26" s="30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2"/>
    </row>
    <row r="27" spans="1:41" x14ac:dyDescent="0.2">
      <c r="D27" s="83"/>
      <c r="E27" s="29" t="s">
        <v>65</v>
      </c>
      <c r="F27" s="30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2"/>
      <c r="X27" s="30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2"/>
    </row>
    <row r="28" spans="1:41" x14ac:dyDescent="0.2">
      <c r="D28" s="83"/>
      <c r="E28" s="29" t="s">
        <v>66</v>
      </c>
      <c r="F28" s="30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2"/>
      <c r="X28" s="30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2"/>
    </row>
    <row r="29" spans="1:41" x14ac:dyDescent="0.2">
      <c r="D29" s="83"/>
      <c r="E29" s="29" t="s">
        <v>67</v>
      </c>
      <c r="F29" s="30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2"/>
      <c r="X29" s="30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2"/>
    </row>
    <row r="30" spans="1:41" x14ac:dyDescent="0.2">
      <c r="D30" s="83"/>
      <c r="E30" s="29" t="s">
        <v>69</v>
      </c>
      <c r="F30" s="33"/>
      <c r="G30" s="34"/>
      <c r="H30" s="34"/>
      <c r="I30" s="34"/>
      <c r="J30" s="34">
        <v>1</v>
      </c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3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5"/>
    </row>
    <row r="31" spans="1:41" x14ac:dyDescent="0.2">
      <c r="D31" s="84"/>
      <c r="E31" s="36" t="s">
        <v>70</v>
      </c>
      <c r="F31" s="37">
        <f>SUM(F24:F30)</f>
        <v>0</v>
      </c>
      <c r="G31" s="38">
        <f t="shared" ref="G31:AO31" si="19">SUM(G24:G30)</f>
        <v>0</v>
      </c>
      <c r="H31" s="38">
        <f t="shared" si="19"/>
        <v>0</v>
      </c>
      <c r="I31" s="38">
        <f t="shared" si="19"/>
        <v>0</v>
      </c>
      <c r="J31" s="38">
        <f t="shared" si="19"/>
        <v>1</v>
      </c>
      <c r="K31" s="38">
        <f t="shared" si="19"/>
        <v>0</v>
      </c>
      <c r="L31" s="38">
        <f t="shared" si="19"/>
        <v>0</v>
      </c>
      <c r="M31" s="38">
        <f t="shared" si="19"/>
        <v>0</v>
      </c>
      <c r="N31" s="38">
        <f t="shared" si="19"/>
        <v>0</v>
      </c>
      <c r="O31" s="38">
        <f t="shared" si="19"/>
        <v>0</v>
      </c>
      <c r="P31" s="38">
        <f t="shared" si="19"/>
        <v>0</v>
      </c>
      <c r="Q31" s="38">
        <f t="shared" si="19"/>
        <v>0</v>
      </c>
      <c r="R31" s="38">
        <f t="shared" si="19"/>
        <v>0</v>
      </c>
      <c r="S31" s="38">
        <f t="shared" si="19"/>
        <v>0</v>
      </c>
      <c r="T31" s="38">
        <f t="shared" si="19"/>
        <v>0</v>
      </c>
      <c r="U31" s="38">
        <f t="shared" si="19"/>
        <v>0</v>
      </c>
      <c r="V31" s="38">
        <f t="shared" si="19"/>
        <v>0</v>
      </c>
      <c r="W31" s="38">
        <f t="shared" si="19"/>
        <v>0</v>
      </c>
      <c r="X31" s="38">
        <f t="shared" si="19"/>
        <v>0</v>
      </c>
      <c r="Y31" s="38">
        <f t="shared" si="19"/>
        <v>0</v>
      </c>
      <c r="Z31" s="38">
        <f t="shared" si="19"/>
        <v>0</v>
      </c>
      <c r="AA31" s="38">
        <f t="shared" si="19"/>
        <v>0</v>
      </c>
      <c r="AB31" s="38">
        <f t="shared" si="19"/>
        <v>0</v>
      </c>
      <c r="AC31" s="38">
        <f t="shared" si="19"/>
        <v>0</v>
      </c>
      <c r="AD31" s="38">
        <f t="shared" si="19"/>
        <v>0</v>
      </c>
      <c r="AE31" s="38">
        <f t="shared" si="19"/>
        <v>0</v>
      </c>
      <c r="AF31" s="38">
        <f t="shared" si="19"/>
        <v>0</v>
      </c>
      <c r="AG31" s="38">
        <f t="shared" si="19"/>
        <v>0</v>
      </c>
      <c r="AH31" s="38">
        <f t="shared" si="19"/>
        <v>0</v>
      </c>
      <c r="AI31" s="38">
        <f t="shared" si="19"/>
        <v>0</v>
      </c>
      <c r="AJ31" s="38">
        <f t="shared" si="19"/>
        <v>0</v>
      </c>
      <c r="AK31" s="38">
        <f t="shared" si="19"/>
        <v>0</v>
      </c>
      <c r="AL31" s="38">
        <f t="shared" si="19"/>
        <v>0</v>
      </c>
      <c r="AM31" s="38">
        <f t="shared" si="19"/>
        <v>0</v>
      </c>
      <c r="AN31" s="38">
        <f t="shared" si="19"/>
        <v>0</v>
      </c>
      <c r="AO31" s="39">
        <f t="shared" si="19"/>
        <v>0</v>
      </c>
    </row>
    <row r="32" spans="1:41" x14ac:dyDescent="0.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</row>
    <row r="33" spans="4:41" ht="15.75" x14ac:dyDescent="0.25">
      <c r="D33" s="87" t="s">
        <v>60</v>
      </c>
      <c r="E33" s="89"/>
      <c r="F33" s="85" t="s">
        <v>151</v>
      </c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5" t="s">
        <v>150</v>
      </c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4:41" ht="15.75" x14ac:dyDescent="0.25">
      <c r="D34" s="87" t="s">
        <v>46</v>
      </c>
      <c r="E34" s="88"/>
      <c r="F34" s="19">
        <v>1</v>
      </c>
      <c r="G34" s="20">
        <v>2</v>
      </c>
      <c r="H34" s="20">
        <v>3</v>
      </c>
      <c r="I34" s="20">
        <v>4</v>
      </c>
      <c r="J34" s="20">
        <v>5</v>
      </c>
      <c r="K34" s="20">
        <v>6</v>
      </c>
      <c r="L34" s="20">
        <v>7</v>
      </c>
      <c r="M34" s="20">
        <v>8</v>
      </c>
      <c r="N34" s="20">
        <v>9</v>
      </c>
      <c r="O34" s="20">
        <v>10</v>
      </c>
      <c r="P34" s="20">
        <v>11</v>
      </c>
      <c r="Q34" s="20">
        <v>12</v>
      </c>
      <c r="R34" s="20">
        <v>13</v>
      </c>
      <c r="S34" s="20">
        <v>14</v>
      </c>
      <c r="T34" s="20">
        <v>15</v>
      </c>
      <c r="U34" s="20">
        <v>16</v>
      </c>
      <c r="V34" s="20">
        <v>17</v>
      </c>
      <c r="W34" s="21">
        <v>18</v>
      </c>
      <c r="X34" s="19">
        <v>1</v>
      </c>
      <c r="Y34" s="20">
        <v>2</v>
      </c>
      <c r="Z34" s="20">
        <v>3</v>
      </c>
      <c r="AA34" s="20">
        <v>4</v>
      </c>
      <c r="AB34" s="20">
        <v>5</v>
      </c>
      <c r="AC34" s="20">
        <v>6</v>
      </c>
      <c r="AD34" s="20">
        <v>7</v>
      </c>
      <c r="AE34" s="20">
        <v>8</v>
      </c>
      <c r="AF34" s="20">
        <v>9</v>
      </c>
      <c r="AG34" s="20">
        <v>10</v>
      </c>
      <c r="AH34" s="20">
        <v>11</v>
      </c>
      <c r="AI34" s="20">
        <v>12</v>
      </c>
      <c r="AJ34" s="20">
        <v>13</v>
      </c>
      <c r="AK34" s="20">
        <v>14</v>
      </c>
      <c r="AL34" s="20">
        <v>15</v>
      </c>
      <c r="AM34" s="20">
        <v>16</v>
      </c>
      <c r="AN34" s="20">
        <v>17</v>
      </c>
      <c r="AO34" s="21">
        <v>18</v>
      </c>
    </row>
    <row r="35" spans="4:41" ht="15.75" x14ac:dyDescent="0.25">
      <c r="D35" s="87" t="s">
        <v>61</v>
      </c>
      <c r="E35" s="88"/>
      <c r="F35" s="19">
        <v>3</v>
      </c>
      <c r="G35" s="20">
        <v>6</v>
      </c>
      <c r="H35" s="20">
        <v>10</v>
      </c>
      <c r="I35" s="20">
        <v>14</v>
      </c>
      <c r="J35" s="20">
        <v>17</v>
      </c>
      <c r="K35" s="20">
        <v>20</v>
      </c>
      <c r="L35" s="20">
        <v>23</v>
      </c>
      <c r="M35" s="20">
        <v>26</v>
      </c>
      <c r="N35" s="20">
        <v>29</v>
      </c>
      <c r="O35" s="20">
        <v>32</v>
      </c>
      <c r="P35" s="20">
        <v>35</v>
      </c>
      <c r="Q35" s="20">
        <v>38</v>
      </c>
      <c r="R35" s="20">
        <v>42</v>
      </c>
      <c r="S35" s="20">
        <v>45</v>
      </c>
      <c r="T35" s="20">
        <v>48</v>
      </c>
      <c r="U35" s="20">
        <v>52</v>
      </c>
      <c r="V35" s="20">
        <v>55</v>
      </c>
      <c r="W35" s="21">
        <v>58</v>
      </c>
      <c r="X35" s="19">
        <v>3</v>
      </c>
      <c r="Y35" s="20">
        <v>6</v>
      </c>
      <c r="Z35" s="20">
        <v>9</v>
      </c>
      <c r="AA35" s="20">
        <v>13</v>
      </c>
      <c r="AB35" s="20">
        <v>17</v>
      </c>
      <c r="AC35" s="20">
        <v>21</v>
      </c>
      <c r="AD35" s="20">
        <v>24</v>
      </c>
      <c r="AE35" s="20">
        <v>27</v>
      </c>
      <c r="AF35" s="20">
        <v>30</v>
      </c>
      <c r="AG35" s="20">
        <v>33</v>
      </c>
      <c r="AH35" s="20">
        <v>36</v>
      </c>
      <c r="AI35" s="20">
        <v>39</v>
      </c>
      <c r="AJ35" s="20">
        <v>42</v>
      </c>
      <c r="AK35" s="20">
        <v>45</v>
      </c>
      <c r="AL35" s="20">
        <v>48</v>
      </c>
      <c r="AM35" s="20">
        <v>52</v>
      </c>
      <c r="AN35" s="20">
        <v>56</v>
      </c>
      <c r="AO35" s="21">
        <v>59</v>
      </c>
    </row>
    <row r="36" spans="4:41" x14ac:dyDescent="0.2">
      <c r="D36" s="82" t="s">
        <v>62</v>
      </c>
      <c r="E36" s="25" t="s">
        <v>63</v>
      </c>
      <c r="F36" s="26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8"/>
      <c r="X36" s="26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8"/>
    </row>
    <row r="37" spans="4:41" x14ac:dyDescent="0.2">
      <c r="D37" s="83"/>
      <c r="E37" s="29" t="s">
        <v>47</v>
      </c>
      <c r="F37" s="30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2"/>
      <c r="X37" s="30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2"/>
    </row>
    <row r="38" spans="4:41" x14ac:dyDescent="0.2">
      <c r="D38" s="83"/>
      <c r="E38" s="29" t="s">
        <v>64</v>
      </c>
      <c r="F38" s="30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2"/>
      <c r="X38" s="30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2"/>
    </row>
    <row r="39" spans="4:41" x14ac:dyDescent="0.2">
      <c r="D39" s="83"/>
      <c r="E39" s="29" t="s">
        <v>65</v>
      </c>
      <c r="F39" s="30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2"/>
      <c r="X39" s="30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2"/>
    </row>
    <row r="40" spans="4:41" x14ac:dyDescent="0.2">
      <c r="D40" s="83"/>
      <c r="E40" s="29" t="s">
        <v>66</v>
      </c>
      <c r="F40" s="30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2"/>
      <c r="X40" s="30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2"/>
    </row>
    <row r="41" spans="4:41" x14ac:dyDescent="0.2">
      <c r="D41" s="83"/>
      <c r="E41" s="29" t="s">
        <v>67</v>
      </c>
      <c r="F41" s="30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2"/>
      <c r="X41" s="30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2"/>
    </row>
    <row r="42" spans="4:41" x14ac:dyDescent="0.2">
      <c r="D42" s="83"/>
      <c r="E42" s="29" t="s">
        <v>69</v>
      </c>
      <c r="F42" s="33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3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5"/>
    </row>
    <row r="43" spans="4:41" x14ac:dyDescent="0.2">
      <c r="D43" s="84"/>
      <c r="E43" s="36" t="s">
        <v>70</v>
      </c>
      <c r="F43" s="37">
        <f>SUM(F36:F42)</f>
        <v>0</v>
      </c>
      <c r="G43" s="38">
        <f t="shared" ref="G43:AO43" si="20">SUM(G36:G42)</f>
        <v>0</v>
      </c>
      <c r="H43" s="38">
        <f t="shared" si="20"/>
        <v>0</v>
      </c>
      <c r="I43" s="38">
        <f t="shared" si="20"/>
        <v>0</v>
      </c>
      <c r="J43" s="38">
        <f t="shared" si="20"/>
        <v>0</v>
      </c>
      <c r="K43" s="38">
        <f t="shared" si="20"/>
        <v>0</v>
      </c>
      <c r="L43" s="38">
        <f t="shared" si="20"/>
        <v>0</v>
      </c>
      <c r="M43" s="38">
        <f t="shared" si="20"/>
        <v>0</v>
      </c>
      <c r="N43" s="38">
        <f t="shared" si="20"/>
        <v>0</v>
      </c>
      <c r="O43" s="38">
        <f t="shared" si="20"/>
        <v>0</v>
      </c>
      <c r="P43" s="38">
        <f t="shared" si="20"/>
        <v>0</v>
      </c>
      <c r="Q43" s="38">
        <f t="shared" si="20"/>
        <v>0</v>
      </c>
      <c r="R43" s="38">
        <f t="shared" si="20"/>
        <v>0</v>
      </c>
      <c r="S43" s="38">
        <f t="shared" si="20"/>
        <v>0</v>
      </c>
      <c r="T43" s="38">
        <f t="shared" si="20"/>
        <v>0</v>
      </c>
      <c r="U43" s="38">
        <f t="shared" si="20"/>
        <v>0</v>
      </c>
      <c r="V43" s="38">
        <f t="shared" si="20"/>
        <v>0</v>
      </c>
      <c r="W43" s="38">
        <f t="shared" si="20"/>
        <v>0</v>
      </c>
      <c r="X43" s="38">
        <f t="shared" si="20"/>
        <v>0</v>
      </c>
      <c r="Y43" s="38">
        <f t="shared" si="20"/>
        <v>0</v>
      </c>
      <c r="Z43" s="38">
        <f t="shared" si="20"/>
        <v>0</v>
      </c>
      <c r="AA43" s="38">
        <f t="shared" si="20"/>
        <v>0</v>
      </c>
      <c r="AB43" s="38">
        <f t="shared" si="20"/>
        <v>0</v>
      </c>
      <c r="AC43" s="38">
        <f t="shared" si="20"/>
        <v>0</v>
      </c>
      <c r="AD43" s="38">
        <f t="shared" si="20"/>
        <v>0</v>
      </c>
      <c r="AE43" s="38">
        <f t="shared" si="20"/>
        <v>0</v>
      </c>
      <c r="AF43" s="38">
        <f t="shared" si="20"/>
        <v>0</v>
      </c>
      <c r="AG43" s="38">
        <f t="shared" si="20"/>
        <v>0</v>
      </c>
      <c r="AH43" s="38">
        <f t="shared" si="20"/>
        <v>0</v>
      </c>
      <c r="AI43" s="38">
        <f t="shared" si="20"/>
        <v>0</v>
      </c>
      <c r="AJ43" s="38">
        <f t="shared" si="20"/>
        <v>0</v>
      </c>
      <c r="AK43" s="38">
        <f t="shared" si="20"/>
        <v>0</v>
      </c>
      <c r="AL43" s="38">
        <f t="shared" si="20"/>
        <v>0</v>
      </c>
      <c r="AM43" s="38">
        <f t="shared" si="20"/>
        <v>0</v>
      </c>
      <c r="AN43" s="38">
        <f t="shared" si="20"/>
        <v>0</v>
      </c>
      <c r="AO43" s="39">
        <f t="shared" si="20"/>
        <v>0</v>
      </c>
    </row>
    <row r="45" spans="4:41" ht="15.75" x14ac:dyDescent="0.25">
      <c r="D45" s="87" t="s">
        <v>60</v>
      </c>
      <c r="E45" s="89"/>
      <c r="F45" s="85" t="s">
        <v>152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5" t="s">
        <v>153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4:41" ht="15.75" x14ac:dyDescent="0.25">
      <c r="D46" s="87" t="s">
        <v>46</v>
      </c>
      <c r="E46" s="88"/>
      <c r="F46" s="19">
        <v>1</v>
      </c>
      <c r="G46" s="20">
        <v>2</v>
      </c>
      <c r="H46" s="20">
        <v>3</v>
      </c>
      <c r="I46" s="20">
        <v>4</v>
      </c>
      <c r="J46" s="20">
        <v>5</v>
      </c>
      <c r="K46" s="20">
        <v>6</v>
      </c>
      <c r="L46" s="20">
        <v>7</v>
      </c>
      <c r="M46" s="20">
        <v>8</v>
      </c>
      <c r="N46" s="20">
        <v>9</v>
      </c>
      <c r="O46" s="20">
        <v>10</v>
      </c>
      <c r="P46" s="20">
        <v>11</v>
      </c>
      <c r="Q46" s="20">
        <v>12</v>
      </c>
      <c r="R46" s="20">
        <v>13</v>
      </c>
      <c r="S46" s="20">
        <v>14</v>
      </c>
      <c r="T46" s="20">
        <v>15</v>
      </c>
      <c r="U46" s="20">
        <v>16</v>
      </c>
      <c r="V46" s="20">
        <v>17</v>
      </c>
      <c r="W46" s="21">
        <v>18</v>
      </c>
      <c r="X46" s="19">
        <v>1</v>
      </c>
      <c r="Y46" s="20">
        <v>2</v>
      </c>
      <c r="Z46" s="20">
        <v>3</v>
      </c>
      <c r="AA46" s="20">
        <v>4</v>
      </c>
      <c r="AB46" s="20">
        <v>5</v>
      </c>
      <c r="AC46" s="20">
        <v>6</v>
      </c>
      <c r="AD46" s="20">
        <v>7</v>
      </c>
      <c r="AE46" s="20">
        <v>8</v>
      </c>
      <c r="AF46" s="20">
        <v>9</v>
      </c>
      <c r="AG46" s="20">
        <v>10</v>
      </c>
      <c r="AH46" s="20">
        <v>11</v>
      </c>
      <c r="AI46" s="20">
        <v>12</v>
      </c>
      <c r="AJ46" s="20">
        <v>13</v>
      </c>
      <c r="AK46" s="20">
        <v>14</v>
      </c>
      <c r="AL46" s="20">
        <v>15</v>
      </c>
      <c r="AM46" s="20">
        <v>16</v>
      </c>
      <c r="AN46" s="20">
        <v>17</v>
      </c>
      <c r="AO46" s="21">
        <v>18</v>
      </c>
    </row>
    <row r="47" spans="4:41" ht="15.75" x14ac:dyDescent="0.25">
      <c r="D47" s="87" t="s">
        <v>61</v>
      </c>
      <c r="E47" s="88"/>
      <c r="F47" s="19">
        <v>3</v>
      </c>
      <c r="G47" s="20">
        <v>7</v>
      </c>
      <c r="H47" s="20">
        <v>10</v>
      </c>
      <c r="I47" s="20">
        <v>14</v>
      </c>
      <c r="J47" s="20">
        <v>17</v>
      </c>
      <c r="K47" s="20">
        <v>20</v>
      </c>
      <c r="L47" s="20">
        <v>23</v>
      </c>
      <c r="M47" s="20">
        <v>26</v>
      </c>
      <c r="N47" s="20">
        <v>29</v>
      </c>
      <c r="O47" s="20">
        <v>32</v>
      </c>
      <c r="P47" s="20">
        <v>35</v>
      </c>
      <c r="Q47" s="20">
        <v>38</v>
      </c>
      <c r="R47" s="20">
        <v>41</v>
      </c>
      <c r="S47" s="20">
        <v>43</v>
      </c>
      <c r="T47" s="20">
        <v>46</v>
      </c>
      <c r="U47" s="20">
        <v>49</v>
      </c>
      <c r="V47" s="20">
        <v>52</v>
      </c>
      <c r="W47" s="21">
        <v>56</v>
      </c>
      <c r="X47" s="19">
        <v>0</v>
      </c>
      <c r="Y47" s="20">
        <v>4</v>
      </c>
      <c r="Z47" s="20">
        <v>7</v>
      </c>
      <c r="AA47" s="20">
        <v>10</v>
      </c>
      <c r="AB47" s="20">
        <v>12</v>
      </c>
      <c r="AC47" s="20">
        <v>15</v>
      </c>
      <c r="AD47" s="20">
        <v>18</v>
      </c>
      <c r="AE47" s="20">
        <v>23</v>
      </c>
      <c r="AF47" s="20">
        <v>26</v>
      </c>
      <c r="AG47" s="20">
        <v>30</v>
      </c>
      <c r="AH47" s="20">
        <v>33</v>
      </c>
      <c r="AI47" s="20">
        <v>39</v>
      </c>
      <c r="AJ47" s="20">
        <v>43</v>
      </c>
      <c r="AK47" s="20">
        <v>46</v>
      </c>
      <c r="AL47" s="20">
        <v>50</v>
      </c>
      <c r="AM47" s="20">
        <v>53</v>
      </c>
      <c r="AN47" s="20">
        <v>56</v>
      </c>
      <c r="AO47" s="21">
        <v>59</v>
      </c>
    </row>
    <row r="48" spans="4:41" x14ac:dyDescent="0.2">
      <c r="D48" s="82" t="s">
        <v>62</v>
      </c>
      <c r="E48" s="25" t="s">
        <v>63</v>
      </c>
      <c r="F48" s="26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8"/>
      <c r="X48" s="26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8"/>
    </row>
    <row r="49" spans="1:41" x14ac:dyDescent="0.2">
      <c r="D49" s="83"/>
      <c r="E49" s="29" t="s">
        <v>47</v>
      </c>
      <c r="F49" s="30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2"/>
      <c r="X49" s="30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2"/>
    </row>
    <row r="50" spans="1:41" x14ac:dyDescent="0.2">
      <c r="D50" s="83"/>
      <c r="E50" s="29" t="s">
        <v>64</v>
      </c>
      <c r="F50" s="30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2"/>
      <c r="X50" s="30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2"/>
    </row>
    <row r="51" spans="1:41" x14ac:dyDescent="0.2">
      <c r="D51" s="83"/>
      <c r="E51" s="29" t="s">
        <v>65</v>
      </c>
      <c r="F51" s="30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2"/>
      <c r="X51" s="30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2"/>
    </row>
    <row r="52" spans="1:41" x14ac:dyDescent="0.2">
      <c r="D52" s="83"/>
      <c r="E52" s="29" t="s">
        <v>66</v>
      </c>
      <c r="F52" s="30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2"/>
      <c r="X52" s="30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2"/>
    </row>
    <row r="53" spans="1:41" x14ac:dyDescent="0.2">
      <c r="D53" s="83"/>
      <c r="E53" s="29" t="s">
        <v>67</v>
      </c>
      <c r="F53" s="30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2"/>
      <c r="X53" s="30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2"/>
    </row>
    <row r="54" spans="1:41" x14ac:dyDescent="0.2">
      <c r="D54" s="83"/>
      <c r="E54" s="29" t="s">
        <v>69</v>
      </c>
      <c r="F54" s="33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5"/>
      <c r="X54" s="33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5"/>
    </row>
    <row r="55" spans="1:41" x14ac:dyDescent="0.2">
      <c r="D55" s="84"/>
      <c r="E55" s="36" t="s">
        <v>70</v>
      </c>
      <c r="F55" s="37">
        <f>SUM(F48:F54)</f>
        <v>0</v>
      </c>
      <c r="G55" s="38">
        <f t="shared" ref="G55:AO55" si="21">SUM(G48:G54)</f>
        <v>0</v>
      </c>
      <c r="H55" s="38">
        <f t="shared" si="21"/>
        <v>0</v>
      </c>
      <c r="I55" s="38">
        <f t="shared" si="21"/>
        <v>0</v>
      </c>
      <c r="J55" s="38">
        <f t="shared" si="21"/>
        <v>0</v>
      </c>
      <c r="K55" s="38">
        <f t="shared" si="21"/>
        <v>0</v>
      </c>
      <c r="L55" s="38">
        <f t="shared" si="21"/>
        <v>0</v>
      </c>
      <c r="M55" s="38">
        <f t="shared" si="21"/>
        <v>0</v>
      </c>
      <c r="N55" s="38">
        <f t="shared" si="21"/>
        <v>0</v>
      </c>
      <c r="O55" s="38">
        <f t="shared" si="21"/>
        <v>0</v>
      </c>
      <c r="P55" s="38">
        <f t="shared" si="21"/>
        <v>0</v>
      </c>
      <c r="Q55" s="38">
        <f t="shared" si="21"/>
        <v>0</v>
      </c>
      <c r="R55" s="38">
        <f t="shared" si="21"/>
        <v>0</v>
      </c>
      <c r="S55" s="38">
        <f t="shared" si="21"/>
        <v>0</v>
      </c>
      <c r="T55" s="38">
        <f t="shared" si="21"/>
        <v>0</v>
      </c>
      <c r="U55" s="38">
        <f t="shared" si="21"/>
        <v>0</v>
      </c>
      <c r="V55" s="38">
        <f t="shared" si="21"/>
        <v>0</v>
      </c>
      <c r="W55" s="38">
        <f t="shared" si="21"/>
        <v>0</v>
      </c>
      <c r="X55" s="38">
        <f t="shared" si="21"/>
        <v>0</v>
      </c>
      <c r="Y55" s="38">
        <f t="shared" si="21"/>
        <v>0</v>
      </c>
      <c r="Z55" s="38">
        <f t="shared" si="21"/>
        <v>0</v>
      </c>
      <c r="AA55" s="38">
        <f t="shared" si="21"/>
        <v>0</v>
      </c>
      <c r="AB55" s="38">
        <f t="shared" si="21"/>
        <v>0</v>
      </c>
      <c r="AC55" s="38">
        <f t="shared" si="21"/>
        <v>0</v>
      </c>
      <c r="AD55" s="38">
        <f t="shared" si="21"/>
        <v>0</v>
      </c>
      <c r="AE55" s="38">
        <f t="shared" si="21"/>
        <v>0</v>
      </c>
      <c r="AF55" s="38">
        <f t="shared" si="21"/>
        <v>0</v>
      </c>
      <c r="AG55" s="38">
        <f t="shared" si="21"/>
        <v>0</v>
      </c>
      <c r="AH55" s="38">
        <f t="shared" si="21"/>
        <v>0</v>
      </c>
      <c r="AI55" s="38">
        <f t="shared" si="21"/>
        <v>0</v>
      </c>
      <c r="AJ55" s="38">
        <f t="shared" si="21"/>
        <v>0</v>
      </c>
      <c r="AK55" s="38">
        <f t="shared" si="21"/>
        <v>0</v>
      </c>
      <c r="AL55" s="38">
        <f t="shared" si="21"/>
        <v>0</v>
      </c>
      <c r="AM55" s="38">
        <f t="shared" si="21"/>
        <v>0</v>
      </c>
      <c r="AN55" s="38">
        <f t="shared" si="21"/>
        <v>0</v>
      </c>
      <c r="AO55" s="39">
        <f t="shared" si="21"/>
        <v>0</v>
      </c>
    </row>
    <row r="56" spans="1:41" x14ac:dyDescent="0.2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</row>
  </sheetData>
  <mergeCells count="46">
    <mergeCell ref="D24:D31"/>
    <mergeCell ref="D7:E7"/>
    <mergeCell ref="D34:E34"/>
    <mergeCell ref="A9:C9"/>
    <mergeCell ref="B1:C7"/>
    <mergeCell ref="D22:E22"/>
    <mergeCell ref="D21:E21"/>
    <mergeCell ref="D11:E11"/>
    <mergeCell ref="D9:E9"/>
    <mergeCell ref="D10:E10"/>
    <mergeCell ref="D12:D19"/>
    <mergeCell ref="B21:C21"/>
    <mergeCell ref="D23:E23"/>
    <mergeCell ref="F6:AG6"/>
    <mergeCell ref="D2:E2"/>
    <mergeCell ref="A15:A19"/>
    <mergeCell ref="F3:AG3"/>
    <mergeCell ref="X9:AO9"/>
    <mergeCell ref="D5:E5"/>
    <mergeCell ref="D6:E6"/>
    <mergeCell ref="F2:AG2"/>
    <mergeCell ref="B15:B19"/>
    <mergeCell ref="X21:AO21"/>
    <mergeCell ref="D4:E4"/>
    <mergeCell ref="B13:B14"/>
    <mergeCell ref="F9:W9"/>
    <mergeCell ref="F4:AG4"/>
    <mergeCell ref="F7:AG7"/>
    <mergeCell ref="C10:C19"/>
    <mergeCell ref="D3:E3"/>
    <mergeCell ref="F1:AG1"/>
    <mergeCell ref="F21:W21"/>
    <mergeCell ref="A13:A14"/>
    <mergeCell ref="D1:E1"/>
    <mergeCell ref="F5:AG5"/>
    <mergeCell ref="D48:D55"/>
    <mergeCell ref="X33:AO33"/>
    <mergeCell ref="D36:D43"/>
    <mergeCell ref="D47:E47"/>
    <mergeCell ref="F45:W45"/>
    <mergeCell ref="X45:AO45"/>
    <mergeCell ref="D45:E45"/>
    <mergeCell ref="D46:E46"/>
    <mergeCell ref="D35:E35"/>
    <mergeCell ref="D33:E33"/>
    <mergeCell ref="F33:W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tabSelected="1" zoomScale="115" zoomScaleNormal="115" workbookViewId="0">
      <selection activeCell="C10" sqref="C10"/>
    </sheetView>
  </sheetViews>
  <sheetFormatPr defaultColWidth="9" defaultRowHeight="15" x14ac:dyDescent="0.25"/>
  <cols>
    <col min="1" max="1" width="12.125" style="41" customWidth="1"/>
    <col min="2" max="2" width="9.25" style="41" customWidth="1"/>
    <col min="3" max="3" width="28.25" style="41" customWidth="1"/>
    <col min="4" max="4" width="23.875" style="41" customWidth="1"/>
    <col min="5" max="5" width="9.25" style="41" customWidth="1"/>
    <col min="6" max="6" width="8.375" style="41" customWidth="1"/>
    <col min="7" max="7" width="20" style="41" customWidth="1"/>
    <col min="8" max="8" width="51.875" style="41" customWidth="1"/>
  </cols>
  <sheetData>
    <row r="1" spans="1:8" x14ac:dyDescent="0.2">
      <c r="A1" s="132" t="s">
        <v>75</v>
      </c>
      <c r="B1" s="132"/>
      <c r="C1" s="132"/>
      <c r="D1" s="132"/>
      <c r="E1" s="132"/>
      <c r="F1" s="132"/>
      <c r="G1" s="132"/>
      <c r="H1" s="42"/>
    </row>
    <row r="2" spans="1:8" x14ac:dyDescent="0.2">
      <c r="A2" s="132" t="s">
        <v>76</v>
      </c>
      <c r="B2" s="132"/>
      <c r="C2" s="132"/>
      <c r="D2" s="132"/>
      <c r="E2" s="132"/>
      <c r="F2" s="132"/>
      <c r="G2" s="132"/>
      <c r="H2" s="43"/>
    </row>
    <row r="3" spans="1:8" x14ac:dyDescent="0.2">
      <c r="A3" s="133" t="s">
        <v>142</v>
      </c>
      <c r="B3" s="133"/>
      <c r="C3" s="133"/>
      <c r="D3" s="133"/>
      <c r="E3" s="133"/>
      <c r="F3" s="133"/>
      <c r="G3" s="133"/>
      <c r="H3" s="44"/>
    </row>
    <row r="4" spans="1:8" s="45" customFormat="1" ht="15.75" thickBot="1" x14ac:dyDescent="0.3">
      <c r="A4" s="46"/>
      <c r="B4" s="46"/>
      <c r="C4" s="46"/>
      <c r="D4" s="46"/>
    </row>
    <row r="5" spans="1:8" s="45" customFormat="1" ht="15.75" thickBot="1" x14ac:dyDescent="0.3">
      <c r="A5" s="143" t="s">
        <v>163</v>
      </c>
      <c r="B5" s="139"/>
      <c r="C5" s="144" t="s">
        <v>31</v>
      </c>
      <c r="D5" s="138"/>
      <c r="F5" s="144" t="s">
        <v>166</v>
      </c>
      <c r="G5" s="137"/>
    </row>
    <row r="6" spans="1:8" ht="15.75" thickBot="1" x14ac:dyDescent="0.3">
      <c r="H6" s="47"/>
    </row>
    <row r="7" spans="1:8" s="48" customFormat="1" ht="33" customHeight="1" thickBot="1" x14ac:dyDescent="0.25">
      <c r="A7" s="49" t="s">
        <v>77</v>
      </c>
      <c r="B7" s="49" t="s">
        <v>78</v>
      </c>
      <c r="C7" s="49" t="s">
        <v>79</v>
      </c>
      <c r="D7" s="49" t="s">
        <v>80</v>
      </c>
      <c r="E7" s="49" t="s">
        <v>143</v>
      </c>
      <c r="F7" s="49" t="s">
        <v>144</v>
      </c>
      <c r="G7" s="50" t="s">
        <v>81</v>
      </c>
      <c r="H7" s="49" t="s">
        <v>82</v>
      </c>
    </row>
    <row r="8" spans="1:8" s="51" customFormat="1" ht="14.1" customHeight="1" x14ac:dyDescent="0.25">
      <c r="A8" s="129" t="s">
        <v>83</v>
      </c>
      <c r="B8" s="52"/>
      <c r="C8" s="53" t="s">
        <v>84</v>
      </c>
      <c r="D8" s="54"/>
      <c r="E8" s="55"/>
      <c r="F8" s="55"/>
      <c r="G8" s="55"/>
      <c r="H8" s="53"/>
    </row>
    <row r="9" spans="1:8" ht="25.5" x14ac:dyDescent="0.25">
      <c r="A9" s="130"/>
      <c r="B9" s="56">
        <v>1.1000000000000001</v>
      </c>
      <c r="C9" s="57" t="s">
        <v>0</v>
      </c>
      <c r="D9" s="58" t="s">
        <v>85</v>
      </c>
      <c r="E9" s="58"/>
      <c r="F9" s="58"/>
      <c r="G9" s="59" t="s">
        <v>86</v>
      </c>
      <c r="H9" s="58" t="s">
        <v>87</v>
      </c>
    </row>
    <row r="10" spans="1:8" ht="38.25" x14ac:dyDescent="0.25">
      <c r="A10" s="130"/>
      <c r="B10" s="56">
        <v>1.2</v>
      </c>
      <c r="C10" s="57" t="s">
        <v>1</v>
      </c>
      <c r="D10" s="58" t="s">
        <v>88</v>
      </c>
      <c r="E10" s="58"/>
      <c r="F10" s="58"/>
      <c r="G10" s="59" t="s">
        <v>89</v>
      </c>
      <c r="H10" s="58" t="s">
        <v>87</v>
      </c>
    </row>
    <row r="11" spans="1:8" ht="86.1" customHeight="1" x14ac:dyDescent="0.25">
      <c r="A11" s="130"/>
      <c r="B11" s="56">
        <v>1.3</v>
      </c>
      <c r="C11" s="57" t="s">
        <v>2</v>
      </c>
      <c r="D11" s="58" t="s">
        <v>90</v>
      </c>
      <c r="E11" s="58"/>
      <c r="F11" s="58"/>
      <c r="G11" s="59" t="s">
        <v>91</v>
      </c>
      <c r="H11" s="58" t="s">
        <v>92</v>
      </c>
    </row>
    <row r="12" spans="1:8" ht="31.5" customHeight="1" x14ac:dyDescent="0.25">
      <c r="A12" s="130"/>
      <c r="B12" s="56">
        <v>1.4</v>
      </c>
      <c r="C12" s="57" t="s">
        <v>3</v>
      </c>
      <c r="D12" s="58" t="s">
        <v>93</v>
      </c>
      <c r="E12" s="58"/>
      <c r="F12" s="58"/>
      <c r="G12" s="59" t="s">
        <v>94</v>
      </c>
      <c r="H12" s="58" t="s">
        <v>95</v>
      </c>
    </row>
    <row r="13" spans="1:8" ht="137.1" customHeight="1" x14ac:dyDescent="0.25">
      <c r="A13" s="130"/>
      <c r="B13" s="56">
        <v>1.5</v>
      </c>
      <c r="C13" s="57" t="s">
        <v>4</v>
      </c>
      <c r="D13" s="58" t="s">
        <v>90</v>
      </c>
      <c r="E13" s="58"/>
      <c r="F13" s="58"/>
      <c r="G13" s="59" t="s">
        <v>96</v>
      </c>
      <c r="H13" s="58" t="s">
        <v>97</v>
      </c>
    </row>
    <row r="14" spans="1:8" s="51" customFormat="1" ht="15" customHeight="1" x14ac:dyDescent="0.25">
      <c r="A14" s="130"/>
      <c r="B14" s="60"/>
      <c r="C14" s="61" t="s">
        <v>98</v>
      </c>
      <c r="D14" s="62"/>
      <c r="E14" s="63"/>
      <c r="F14" s="63"/>
      <c r="G14" s="63"/>
      <c r="H14" s="135"/>
    </row>
    <row r="15" spans="1:8" ht="25.5" x14ac:dyDescent="0.25">
      <c r="A15" s="130"/>
      <c r="B15" s="56">
        <v>1.7</v>
      </c>
      <c r="C15" s="57" t="s">
        <v>5</v>
      </c>
      <c r="D15" s="58" t="s">
        <v>99</v>
      </c>
      <c r="E15" s="58"/>
      <c r="F15" s="58"/>
      <c r="G15" s="59"/>
      <c r="H15" s="58" t="s">
        <v>100</v>
      </c>
    </row>
    <row r="16" spans="1:8" ht="25.5" x14ac:dyDescent="0.25">
      <c r="A16" s="130"/>
      <c r="B16" s="56">
        <v>1.8</v>
      </c>
      <c r="C16" s="57" t="s">
        <v>6</v>
      </c>
      <c r="D16" s="58" t="s">
        <v>101</v>
      </c>
      <c r="E16" s="58"/>
      <c r="F16" s="58"/>
      <c r="G16" s="59"/>
      <c r="H16" s="58" t="s">
        <v>102</v>
      </c>
    </row>
    <row r="17" spans="1:8" s="51" customFormat="1" x14ac:dyDescent="0.25">
      <c r="A17" s="130"/>
      <c r="B17" s="60"/>
      <c r="C17" s="62" t="s">
        <v>103</v>
      </c>
      <c r="D17" s="63"/>
      <c r="E17" s="63"/>
      <c r="F17" s="63"/>
      <c r="G17" s="63"/>
      <c r="H17" s="135"/>
    </row>
    <row r="18" spans="1:8" s="64" customFormat="1" ht="42" customHeight="1" x14ac:dyDescent="0.2">
      <c r="A18" s="130"/>
      <c r="B18" s="56">
        <v>1.9</v>
      </c>
      <c r="C18" s="65" t="s">
        <v>7</v>
      </c>
      <c r="D18" s="66" t="s">
        <v>104</v>
      </c>
      <c r="E18" s="67"/>
      <c r="F18" s="66"/>
      <c r="G18" s="68" t="s">
        <v>105</v>
      </c>
      <c r="H18" s="66" t="s">
        <v>106</v>
      </c>
    </row>
    <row r="19" spans="1:8" s="64" customFormat="1" ht="38.25" x14ac:dyDescent="0.2">
      <c r="A19" s="130"/>
      <c r="B19" s="69">
        <v>1.1000000000000001</v>
      </c>
      <c r="C19" s="65" t="s">
        <v>8</v>
      </c>
      <c r="D19" s="66" t="s">
        <v>107</v>
      </c>
      <c r="E19" s="67"/>
      <c r="F19" s="66"/>
      <c r="G19" s="68" t="s">
        <v>108</v>
      </c>
      <c r="H19" s="66"/>
    </row>
    <row r="20" spans="1:8" s="64" customFormat="1" ht="31.5" customHeight="1" x14ac:dyDescent="0.2">
      <c r="A20" s="130"/>
      <c r="B20" s="56">
        <v>1.1100000000000001</v>
      </c>
      <c r="C20" s="65" t="s">
        <v>9</v>
      </c>
      <c r="D20" s="66" t="s">
        <v>107</v>
      </c>
      <c r="E20" s="67"/>
      <c r="F20" s="66"/>
      <c r="G20" s="68" t="s">
        <v>109</v>
      </c>
      <c r="H20" s="136" t="s">
        <v>68</v>
      </c>
    </row>
    <row r="21" spans="1:8" s="64" customFormat="1" ht="25.5" x14ac:dyDescent="0.2">
      <c r="A21" s="130"/>
      <c r="B21" s="56">
        <v>1.1200000000000001</v>
      </c>
      <c r="C21" s="65" t="s">
        <v>10</v>
      </c>
      <c r="D21" s="66" t="s">
        <v>110</v>
      </c>
      <c r="E21" s="67"/>
      <c r="F21" s="66"/>
      <c r="G21" s="68" t="s">
        <v>111</v>
      </c>
      <c r="H21" s="66"/>
    </row>
    <row r="22" spans="1:8" s="64" customFormat="1" ht="36.950000000000003" customHeight="1" x14ac:dyDescent="0.2">
      <c r="A22" s="130"/>
      <c r="B22" s="56">
        <v>1.1299999999999999</v>
      </c>
      <c r="C22" s="65" t="s">
        <v>11</v>
      </c>
      <c r="D22" s="66" t="s">
        <v>112</v>
      </c>
      <c r="E22" s="67"/>
      <c r="F22" s="66"/>
      <c r="G22" s="68" t="s">
        <v>113</v>
      </c>
      <c r="H22" s="66"/>
    </row>
    <row r="23" spans="1:8" s="64" customFormat="1" ht="26.25" thickBot="1" x14ac:dyDescent="0.25">
      <c r="A23" s="131"/>
      <c r="B23" s="56">
        <v>1.1399999999999999</v>
      </c>
      <c r="C23" s="70" t="s">
        <v>12</v>
      </c>
      <c r="D23" s="67" t="s">
        <v>114</v>
      </c>
      <c r="E23" s="67"/>
      <c r="F23" s="67"/>
      <c r="G23" s="71" t="s">
        <v>115</v>
      </c>
      <c r="H23" s="67" t="s">
        <v>116</v>
      </c>
    </row>
    <row r="24" spans="1:8" s="51" customFormat="1" x14ac:dyDescent="0.25">
      <c r="A24" s="129" t="s">
        <v>117</v>
      </c>
      <c r="B24" s="52"/>
      <c r="C24" s="53" t="s">
        <v>118</v>
      </c>
      <c r="D24" s="54"/>
      <c r="E24" s="55"/>
      <c r="F24" s="55"/>
      <c r="G24" s="55"/>
      <c r="H24" s="53"/>
    </row>
    <row r="25" spans="1:8" ht="25.5" x14ac:dyDescent="0.25">
      <c r="A25" s="130"/>
      <c r="B25" s="56">
        <v>2.1</v>
      </c>
      <c r="C25" s="57" t="s">
        <v>13</v>
      </c>
      <c r="D25" s="58" t="s">
        <v>119</v>
      </c>
      <c r="E25" s="58"/>
      <c r="F25" s="58"/>
      <c r="G25" s="59" t="s">
        <v>120</v>
      </c>
      <c r="H25" s="58" t="s">
        <v>121</v>
      </c>
    </row>
    <row r="26" spans="1:8" ht="25.5" x14ac:dyDescent="0.25">
      <c r="A26" s="130"/>
      <c r="B26" s="56">
        <v>2.2000000000000002</v>
      </c>
      <c r="C26" s="57" t="s">
        <v>14</v>
      </c>
      <c r="D26" s="58" t="s">
        <v>122</v>
      </c>
      <c r="E26" s="58"/>
      <c r="F26" s="58"/>
      <c r="G26" s="59" t="s">
        <v>123</v>
      </c>
      <c r="H26" s="58"/>
    </row>
    <row r="27" spans="1:8" s="51" customFormat="1" x14ac:dyDescent="0.25">
      <c r="A27" s="130"/>
      <c r="B27" s="72"/>
      <c r="C27" s="61" t="s">
        <v>124</v>
      </c>
      <c r="D27" s="62"/>
      <c r="E27" s="63"/>
      <c r="F27" s="63"/>
      <c r="G27" s="63"/>
      <c r="H27" s="135"/>
    </row>
    <row r="28" spans="1:8" ht="25.5" x14ac:dyDescent="0.25">
      <c r="A28" s="130"/>
      <c r="B28" s="56">
        <v>2.2999999999999998</v>
      </c>
      <c r="C28" s="57" t="s">
        <v>15</v>
      </c>
      <c r="D28" s="58" t="s">
        <v>119</v>
      </c>
      <c r="E28" s="58"/>
      <c r="F28" s="58"/>
      <c r="G28" s="59" t="s">
        <v>120</v>
      </c>
      <c r="H28" s="58" t="s">
        <v>125</v>
      </c>
    </row>
    <row r="29" spans="1:8" ht="25.5" x14ac:dyDescent="0.25">
      <c r="A29" s="130"/>
      <c r="B29" s="56">
        <v>2.4</v>
      </c>
      <c r="C29" s="57" t="s">
        <v>16</v>
      </c>
      <c r="D29" s="58" t="s">
        <v>122</v>
      </c>
      <c r="E29" s="58"/>
      <c r="F29" s="58"/>
      <c r="G29" s="59" t="s">
        <v>123</v>
      </c>
      <c r="H29" s="58"/>
    </row>
    <row r="30" spans="1:8" ht="25.5" x14ac:dyDescent="0.25">
      <c r="A30" s="130"/>
      <c r="B30" s="56">
        <v>2.5</v>
      </c>
      <c r="C30" s="73" t="s">
        <v>17</v>
      </c>
      <c r="D30" s="58" t="s">
        <v>126</v>
      </c>
      <c r="E30" s="58"/>
      <c r="F30" s="58"/>
      <c r="G30" s="59" t="s">
        <v>86</v>
      </c>
      <c r="H30" s="58"/>
    </row>
    <row r="31" spans="1:8" ht="25.5" x14ac:dyDescent="0.25">
      <c r="A31" s="130"/>
      <c r="B31" s="56">
        <v>2.6</v>
      </c>
      <c r="C31" s="73" t="s">
        <v>18</v>
      </c>
      <c r="D31" s="58" t="s">
        <v>122</v>
      </c>
      <c r="E31" s="58"/>
      <c r="F31" s="58"/>
      <c r="G31" s="59" t="s">
        <v>127</v>
      </c>
      <c r="H31" s="58"/>
    </row>
    <row r="32" spans="1:8" ht="26.25" thickBot="1" x14ac:dyDescent="0.3">
      <c r="A32" s="131"/>
      <c r="B32" s="74">
        <v>2.7</v>
      </c>
      <c r="C32" s="75" t="s">
        <v>19</v>
      </c>
      <c r="D32" s="76" t="s">
        <v>122</v>
      </c>
      <c r="E32" s="58"/>
      <c r="F32" s="76"/>
      <c r="G32" s="77" t="s">
        <v>127</v>
      </c>
      <c r="H32" s="76"/>
    </row>
    <row r="33" spans="1:8" ht="27.95" customHeight="1" x14ac:dyDescent="0.25">
      <c r="A33" s="127" t="s">
        <v>128</v>
      </c>
      <c r="B33" s="58">
        <v>3.1</v>
      </c>
      <c r="C33" s="57" t="s">
        <v>20</v>
      </c>
      <c r="D33" s="58" t="s">
        <v>129</v>
      </c>
      <c r="E33" s="58"/>
      <c r="F33" s="58"/>
      <c r="G33" s="59" t="s">
        <v>130</v>
      </c>
      <c r="H33" s="58" t="s">
        <v>131</v>
      </c>
    </row>
    <row r="34" spans="1:8" x14ac:dyDescent="0.25">
      <c r="A34" s="127"/>
      <c r="B34" s="58">
        <v>3.2</v>
      </c>
      <c r="C34" s="57" t="s">
        <v>21</v>
      </c>
      <c r="D34" s="58" t="s">
        <v>132</v>
      </c>
      <c r="E34" s="58"/>
      <c r="F34" s="58"/>
      <c r="G34" s="59" t="s">
        <v>130</v>
      </c>
      <c r="H34" s="58" t="s">
        <v>131</v>
      </c>
    </row>
    <row r="35" spans="1:8" x14ac:dyDescent="0.25">
      <c r="A35" s="127"/>
      <c r="B35" s="58">
        <v>3.3</v>
      </c>
      <c r="C35" s="57" t="s">
        <v>22</v>
      </c>
      <c r="D35" s="58" t="s">
        <v>133</v>
      </c>
      <c r="E35" s="58"/>
      <c r="F35" s="58"/>
      <c r="G35" s="59" t="s">
        <v>130</v>
      </c>
      <c r="H35" s="58" t="s">
        <v>131</v>
      </c>
    </row>
    <row r="36" spans="1:8" x14ac:dyDescent="0.25">
      <c r="A36" s="127"/>
      <c r="B36" s="58">
        <v>3.4</v>
      </c>
      <c r="C36" s="57" t="s">
        <v>23</v>
      </c>
      <c r="D36" s="58" t="s">
        <v>134</v>
      </c>
      <c r="E36" s="58"/>
      <c r="F36" s="58"/>
      <c r="G36" s="59" t="s">
        <v>130</v>
      </c>
      <c r="H36" s="58" t="s">
        <v>131</v>
      </c>
    </row>
    <row r="37" spans="1:8" ht="25.5" x14ac:dyDescent="0.25">
      <c r="A37" s="127"/>
      <c r="B37" s="58">
        <v>3.6</v>
      </c>
      <c r="C37" s="78" t="s">
        <v>24</v>
      </c>
      <c r="D37" s="58" t="s">
        <v>135</v>
      </c>
      <c r="E37" s="58"/>
      <c r="F37" s="79"/>
      <c r="G37" s="59" t="s">
        <v>136</v>
      </c>
      <c r="H37" s="58"/>
    </row>
    <row r="38" spans="1:8" ht="26.25" thickBot="1" x14ac:dyDescent="0.3">
      <c r="A38" s="128"/>
      <c r="B38" s="80">
        <v>3.7</v>
      </c>
      <c r="C38" s="81" t="s">
        <v>25</v>
      </c>
      <c r="D38" s="80" t="s">
        <v>137</v>
      </c>
      <c r="E38" s="58"/>
      <c r="F38" s="80"/>
      <c r="G38" s="134" t="s">
        <v>138</v>
      </c>
      <c r="H38" s="76" t="s">
        <v>139</v>
      </c>
    </row>
  </sheetData>
  <mergeCells count="6">
    <mergeCell ref="A1:G1"/>
    <mergeCell ref="A2:G2"/>
    <mergeCell ref="A3:G3"/>
    <mergeCell ref="A33:A38"/>
    <mergeCell ref="A24:A32"/>
    <mergeCell ref="A8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labour</vt:lpstr>
      <vt:lpstr>work_sampling</vt:lpstr>
      <vt:lpstr>daily_variables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Mengistu Getie</dc:creator>
  <cp:lastModifiedBy>Mengistu</cp:lastModifiedBy>
  <dcterms:created xsi:type="dcterms:W3CDTF">2024-11-22T17:18:59Z</dcterms:created>
  <dcterms:modified xsi:type="dcterms:W3CDTF">2026-05-15T10:58:24Z</dcterms:modified>
</cp:coreProperties>
</file>