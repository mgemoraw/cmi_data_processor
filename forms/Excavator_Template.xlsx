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MI-NPN\CMI_DATA_PROCESSOR\forms\"/>
    </mc:Choice>
  </mc:AlternateContent>
  <xr:revisionPtr revIDLastSave="0" documentId="13_ncr:1_{CD1B1D0B-DFFC-4F6E-9555-9A3CDC0B0645}" xr6:coauthVersionLast="47" xr6:coauthVersionMax="47" xr10:uidLastSave="{00000000-0000-0000-0000-000000000000}"/>
  <bookViews>
    <workbookView xWindow="-120" yWindow="-120" windowWidth="29040" windowHeight="15840" activeTab="2" xr2:uid="{B5779BBB-6329-4735-9F68-483E4AB1CAB5}"/>
  </bookViews>
  <sheets>
    <sheet name="excavator" sheetId="1" r:id="rId1"/>
    <sheet name="mpdm" sheetId="2" r:id="rId2"/>
    <sheet name="daily-variables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1" l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M109" i="1"/>
  <c r="L109" i="1"/>
  <c r="J109" i="1"/>
  <c r="I109" i="1"/>
  <c r="H109" i="1"/>
  <c r="G109" i="1"/>
  <c r="K112" i="2"/>
  <c r="B112" i="2"/>
  <c r="K117" i="2"/>
  <c r="K113" i="2"/>
  <c r="K116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3" i="2"/>
  <c r="K118" i="2"/>
  <c r="K119" i="2"/>
  <c r="J112" i="2"/>
  <c r="J117" i="2"/>
  <c r="J113" i="2"/>
  <c r="J116" i="2"/>
  <c r="J118" i="2"/>
  <c r="J119" i="2"/>
  <c r="I112" i="2"/>
  <c r="I117" i="2"/>
  <c r="I113" i="2"/>
  <c r="I116" i="2"/>
  <c r="I118" i="2"/>
  <c r="I119" i="2"/>
  <c r="H112" i="2"/>
  <c r="H117" i="2"/>
  <c r="H113" i="2"/>
  <c r="H116" i="2"/>
  <c r="H118" i="2"/>
  <c r="H119" i="2"/>
  <c r="G112" i="2"/>
  <c r="G117" i="2"/>
  <c r="G113" i="2"/>
  <c r="G116" i="2"/>
  <c r="G118" i="2"/>
  <c r="G119" i="2"/>
  <c r="F112" i="2"/>
  <c r="F117" i="2"/>
  <c r="F113" i="2"/>
  <c r="F116" i="2"/>
  <c r="F118" i="2"/>
  <c r="F119" i="2"/>
  <c r="K114" i="2"/>
  <c r="J114" i="2"/>
  <c r="I114" i="2"/>
  <c r="H114" i="2"/>
  <c r="G114" i="2"/>
  <c r="F114" i="2"/>
  <c r="E112" i="2"/>
  <c r="E114" i="2"/>
  <c r="D112" i="2"/>
  <c r="D114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B113" i="2"/>
  <c r="B114" i="2"/>
  <c r="E113" i="2"/>
</calcChain>
</file>

<file path=xl/sharedStrings.xml><?xml version="1.0" encoding="utf-8"?>
<sst xmlns="http://schemas.openxmlformats.org/spreadsheetml/2006/main" count="168" uniqueCount="145">
  <si>
    <t>CONSTRUCTION MANAGEMENT INSTITUTE (CMI) WITH BAHIR DAR INSTITUTE OF TECHNOLOGY (BiT)</t>
  </si>
  <si>
    <t xml:space="preserve"> PREPARATION OF NATIONAL PRODUCTIVITY NORM FOR WATER CONSTRUCTION TRADES</t>
  </si>
  <si>
    <t xml:space="preserve">Form -1-2: Excavator Productivity Data Collection Form </t>
  </si>
  <si>
    <t>Form  - 1-2</t>
  </si>
  <si>
    <t xml:space="preserve">Project Code: </t>
  </si>
  <si>
    <t>01</t>
  </si>
  <si>
    <t>No. of Equip. Types:</t>
  </si>
  <si>
    <t>Date:</t>
  </si>
  <si>
    <t>10/03/2017EC</t>
  </si>
  <si>
    <t xml:space="preserve">Excavator Cycle </t>
  </si>
  <si>
    <t>Manpower (Foreman, Operator, Helper, Laborers, etc.)</t>
  </si>
  <si>
    <t>Excavator Type (Face Shovel, Hoe, Loader)</t>
  </si>
  <si>
    <t>Task Type</t>
  </si>
  <si>
    <t>Description</t>
  </si>
  <si>
    <t>Soil Type</t>
  </si>
  <si>
    <t>Factors</t>
  </si>
  <si>
    <t>Unit</t>
  </si>
  <si>
    <r>
      <t>Q Heaped Bucket Capcity (m</t>
    </r>
    <r>
      <rPr>
        <b/>
        <vertAlign val="superscript"/>
        <sz val="11"/>
        <rFont val="Verdana"/>
        <family val="2"/>
      </rPr>
      <t>3</t>
    </r>
    <r>
      <rPr>
        <b/>
        <sz val="11"/>
        <rFont val="Verdana"/>
        <family val="2"/>
      </rPr>
      <t>)</t>
    </r>
  </si>
  <si>
    <r>
      <t>Productivity (m</t>
    </r>
    <r>
      <rPr>
        <b/>
        <vertAlign val="superscript"/>
        <sz val="11"/>
        <rFont val="Verdana"/>
        <family val="2"/>
      </rPr>
      <t>3</t>
    </r>
    <r>
      <rPr>
        <b/>
        <sz val="11"/>
        <rFont val="Verdana"/>
        <family val="2"/>
      </rPr>
      <t>/hr)</t>
    </r>
  </si>
  <si>
    <t>F (Bucket Fill Factor)</t>
  </si>
  <si>
    <t>AS:D (Angle of Swing &amp; Depth of Cut)</t>
  </si>
  <si>
    <t>Volume Correction</t>
  </si>
  <si>
    <t xml:space="preserve">Efficiency </t>
  </si>
  <si>
    <t>Production Cycle Number</t>
  </si>
  <si>
    <t>Cycle Time</t>
  </si>
  <si>
    <t xml:space="preserve">Non Delay Cycle </t>
  </si>
  <si>
    <t xml:space="preserve">AVG Deviation </t>
  </si>
  <si>
    <t>Non Delay Cy AVG Dev</t>
  </si>
  <si>
    <t xml:space="preserve">Delay </t>
  </si>
  <si>
    <t>Enviroment</t>
  </si>
  <si>
    <t>Equipment</t>
  </si>
  <si>
    <t>Labour</t>
  </si>
  <si>
    <t xml:space="preserve">Material </t>
  </si>
  <si>
    <t>Management</t>
  </si>
  <si>
    <t>Others</t>
  </si>
  <si>
    <t>Count</t>
  </si>
  <si>
    <t>Total</t>
  </si>
  <si>
    <t>Average</t>
  </si>
  <si>
    <t>Total Added Time</t>
  </si>
  <si>
    <t xml:space="preserve">Probability of Occurance </t>
  </si>
  <si>
    <t>Relative  Severity</t>
  </si>
  <si>
    <t>Expected Perecentage of Delay Time</t>
  </si>
  <si>
    <t xml:space="preserve">Construction Management Institute </t>
  </si>
  <si>
    <t xml:space="preserve"> PREPARATION OF NATIONAL PRODUCTIVITY NORM FOR WATER CONSTRUCTION TRADE</t>
  </si>
  <si>
    <t xml:space="preserve">MPDM Data Collection Form </t>
  </si>
  <si>
    <t>Form -3</t>
  </si>
  <si>
    <t>Project Code:</t>
  </si>
  <si>
    <t>Operation:</t>
  </si>
  <si>
    <t>Unit of Time:</t>
  </si>
  <si>
    <t>Seconds</t>
  </si>
  <si>
    <t xml:space="preserve">Form - 6: Daily Input Variables </t>
  </si>
  <si>
    <t>Data Count:</t>
  </si>
  <si>
    <t>Form - 6</t>
  </si>
  <si>
    <t xml:space="preserve">Main Factor </t>
  </si>
  <si>
    <t>Factor ID</t>
  </si>
  <si>
    <t xml:space="preserve">Sub - Factors </t>
  </si>
  <si>
    <t>Scale of Measure</t>
  </si>
  <si>
    <t xml:space="preserve">Data Source </t>
  </si>
  <si>
    <t>Data Value</t>
  </si>
  <si>
    <t>Sub-factor / Range of Value</t>
  </si>
  <si>
    <t xml:space="preserve">Predetermined Ratings (1 - 5) / Description </t>
  </si>
  <si>
    <t>1. Labour Characterstics</t>
  </si>
  <si>
    <t>Crew Properties</t>
  </si>
  <si>
    <t xml:space="preserve">Crew size </t>
  </si>
  <si>
    <t>Integer (Total number of crew members)</t>
  </si>
  <si>
    <t>Range (1 - 20)</t>
  </si>
  <si>
    <t xml:space="preserve">Vaules for each of the crews understudy </t>
  </si>
  <si>
    <t xml:space="preserve">Crew composition </t>
  </si>
  <si>
    <t>Crew Member's Number (Foreman, Tradesperson, Laborer, Helper)</t>
  </si>
  <si>
    <t>Range (0 - 1)</t>
  </si>
  <si>
    <t xml:space="preserve">Co-operation among craftsperson </t>
  </si>
  <si>
    <t>1 - 5 Predetermined rating</t>
  </si>
  <si>
    <t>Crew size, Crew heterogeneity in nationality, ability to perform the task, and stake value related to the task</t>
  </si>
  <si>
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</si>
  <si>
    <t>Level of interruption and disruption</t>
  </si>
  <si>
    <t>Integer (Number of  interruption and disruption per day)</t>
  </si>
  <si>
    <t>Range (0 - 20)</t>
  </si>
  <si>
    <t xml:space="preserve">To document the number of delay events caused due to several reasons which may disrupt the crew from performing the assigned tasks. </t>
  </si>
  <si>
    <t>Fairness of work assignment</t>
  </si>
  <si>
    <t>Consistency (same policy), Reasonableness (use of common sense), Resource (resource allocations), Information (provision of information), Timeliness (timely action), Meaningful assignment</t>
  </si>
  <si>
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</si>
  <si>
    <t>Crew flexibility</t>
  </si>
  <si>
    <t>Ability of crew to perform other's task</t>
  </si>
  <si>
    <t>Percent (degree of ability to perform other's task)</t>
  </si>
  <si>
    <t xml:space="preserve">1. Below 20%; 2. Between 20 - 40%; 3. Between 40 - 60%; 4. Between 60 - 80%; 5. Above 80% </t>
  </si>
  <si>
    <t>Willingness to perform other's tasks</t>
  </si>
  <si>
    <t>Categorical</t>
  </si>
  <si>
    <t>1. Completely Unwilling; 2. Somewhat NOT Willing; 3. Somewhat Willing; 4. Willing; 5. Completely Willing</t>
  </si>
  <si>
    <t>Crew Characterstics</t>
  </si>
  <si>
    <t>Craftsperson education</t>
  </si>
  <si>
    <t>Categorical (Most frequent category)</t>
  </si>
  <si>
    <t xml:space="preserve">Elementary, High School, Technical, College, University </t>
  </si>
  <si>
    <t>1- Elementary, 2-Highschool, 3-Technical, 4- College, 5-University</t>
  </si>
  <si>
    <t>Craftsperson on job training</t>
  </si>
  <si>
    <t>Real number (No. trainings attended x Duration of Training, hrs)</t>
  </si>
  <si>
    <t>Range (0 - 150)</t>
  </si>
  <si>
    <t>Craftsperson technical  training</t>
  </si>
  <si>
    <t>Range (0 - 1000)</t>
  </si>
  <si>
    <t xml:space="preserve"> </t>
  </si>
  <si>
    <t>Crew experience (seniority)</t>
  </si>
  <si>
    <t>Real number (Crew average years of experience )</t>
  </si>
  <si>
    <t>Range (0 - 40)</t>
  </si>
  <si>
    <t xml:space="preserve">Number of languages spoken </t>
  </si>
  <si>
    <t>Integer (Number of languages spoken, total for a crew)</t>
  </si>
  <si>
    <t>Range (1 - 5)</t>
  </si>
  <si>
    <t>Job security</t>
  </si>
  <si>
    <t>Integer (Average length of unemployment period, months)</t>
  </si>
  <si>
    <t xml:space="preserve">Range (0 -12) </t>
  </si>
  <si>
    <t xml:space="preserve">Average per crew member. </t>
  </si>
  <si>
    <t xml:space="preserve">2. Equipment and Tools </t>
  </si>
  <si>
    <t>Availability of work equipment</t>
  </si>
  <si>
    <t>Equipment number</t>
  </si>
  <si>
    <t>Categorical (Type and Number on site)</t>
  </si>
  <si>
    <t>Range (0 - 10)</t>
  </si>
  <si>
    <t>Work of equipment (crane, forklift)</t>
  </si>
  <si>
    <t xml:space="preserve">Waiting time for work equipment </t>
  </si>
  <si>
    <t>Real number (Average waiting time,min)</t>
  </si>
  <si>
    <t>Range (0 - 60)</t>
  </si>
  <si>
    <t xml:space="preserve">Availability of transport equipment </t>
  </si>
  <si>
    <t>Transport equipment (man lift)</t>
  </si>
  <si>
    <t xml:space="preserve">Waiting time for transport equipment </t>
  </si>
  <si>
    <t>Misplacement of tools</t>
  </si>
  <si>
    <t>Real Number (Average no. of misplacement per day)</t>
  </si>
  <si>
    <t>Availability of electric power</t>
  </si>
  <si>
    <t>Range (0 - 30)</t>
  </si>
  <si>
    <t>Availability of extension cords</t>
  </si>
  <si>
    <t xml:space="preserve">3. Project 
Condition </t>
  </si>
  <si>
    <t>Weather (temperature)</t>
  </si>
  <si>
    <r>
      <t>Real number (</t>
    </r>
    <r>
      <rPr>
        <sz val="10"/>
        <color indexed="8"/>
        <rFont val="Times New Roman"/>
        <family val="1"/>
      </rPr>
      <t>˚C)</t>
    </r>
  </si>
  <si>
    <t>Range: recorded (min, max)</t>
  </si>
  <si>
    <t xml:space="preserve">weather.gc.ca. </t>
  </si>
  <si>
    <t xml:space="preserve">Weather (precipitation) </t>
  </si>
  <si>
    <r>
      <t>Real number (</t>
    </r>
    <r>
      <rPr>
        <sz val="10"/>
        <color indexed="8"/>
        <rFont val="Times New Roman"/>
        <family val="1"/>
      </rPr>
      <t>mm)</t>
    </r>
  </si>
  <si>
    <t xml:space="preserve">Weather (humidity) </t>
  </si>
  <si>
    <r>
      <t>Real number (</t>
    </r>
    <r>
      <rPr>
        <sz val="10"/>
        <color indexed="8"/>
        <rFont val="Times New Roman"/>
        <family val="1"/>
      </rPr>
      <t>%)</t>
    </r>
  </si>
  <si>
    <t>Weather (wind speed)</t>
  </si>
  <si>
    <t>Real number (km/hr)</t>
  </si>
  <si>
    <t>Site congestion</t>
  </si>
  <si>
    <t>Real number (Ratio free site space to total site area)</t>
  </si>
  <si>
    <t>Range (0 -100)</t>
  </si>
  <si>
    <t>Use of overtime</t>
  </si>
  <si>
    <t>Real number (Average over time per week)</t>
  </si>
  <si>
    <t>Range (0 -38)</t>
  </si>
  <si>
    <t xml:space="preserve">Over all project activities (besides the one under study). </t>
  </si>
  <si>
    <t>T Cycle 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</si>
</sst>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3" x14ac:knownFonts="1">
    <font>
      <sz val="11"/>
      <color theme="1"/>
      <name val="Calibri"/>
      <family val="2"/>
      <scheme val="minor"/>
    </font>
    <font>
      <u/>
      <sz val="14"/>
      <color theme="1"/>
      <name val="Verdana"/>
      <family val="2"/>
    </font>
    <font>
      <sz val="10"/>
      <name val="Arial"/>
      <family val="2"/>
    </font>
    <font>
      <u/>
      <sz val="14"/>
      <name val="Verdana"/>
      <family val="2"/>
    </font>
    <font>
      <b/>
      <u/>
      <sz val="12"/>
      <name val="Verdana"/>
      <family val="2"/>
    </font>
    <font>
      <b/>
      <sz val="12"/>
      <name val="Verdana"/>
      <family val="2"/>
    </font>
    <font>
      <b/>
      <sz val="11"/>
      <name val="Verdana"/>
      <family val="2"/>
    </font>
    <font>
      <sz val="12"/>
      <name val="Verdana"/>
      <family val="2"/>
    </font>
    <font>
      <b/>
      <sz val="12"/>
      <name val="Times New Roman"/>
      <family val="1"/>
    </font>
    <font>
      <b/>
      <vertAlign val="superscript"/>
      <sz val="11"/>
      <name val="Verdana"/>
      <family val="2"/>
    </font>
    <font>
      <sz val="12"/>
      <name val="Times New Roman"/>
      <family val="1"/>
    </font>
    <font>
      <u/>
      <sz val="14"/>
      <name val="Times New Roman"/>
      <family val="1"/>
    </font>
    <font>
      <b/>
      <u/>
      <sz val="12"/>
      <name val="Times New Roman"/>
      <family val="1"/>
    </font>
    <font>
      <sz val="10"/>
      <color theme="1"/>
      <name val="Times New Roman"/>
      <family val="1"/>
    </font>
    <font>
      <u/>
      <sz val="12"/>
      <name val="Times New Roman"/>
      <family val="1"/>
    </font>
    <font>
      <b/>
      <u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10"/>
      <color indexed="8"/>
      <name val="Times New Roman"/>
      <family val="1"/>
    </font>
    <font>
      <sz val="11"/>
      <color theme="1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8">
    <xf numFmtId="0" fontId="0" fillId="0" borderId="0" xfId="0"/>
    <xf numFmtId="0" fontId="5" fillId="0" borderId="0" xfId="1" applyFont="1" applyAlignment="1">
      <alignment vertical="center"/>
    </xf>
    <xf numFmtId="0" fontId="6" fillId="2" borderId="1" xfId="1" applyFont="1" applyFill="1" applyBorder="1" applyAlignment="1">
      <alignment horizontal="right" vertical="center"/>
    </xf>
    <xf numFmtId="0" fontId="5" fillId="0" borderId="2" xfId="1" quotePrefix="1" applyFont="1" applyBorder="1" applyAlignment="1">
      <alignment vertical="center"/>
    </xf>
    <xf numFmtId="0" fontId="7" fillId="0" borderId="0" xfId="1" applyFont="1" applyAlignment="1">
      <alignment vertical="center"/>
    </xf>
    <xf numFmtId="0" fontId="5" fillId="2" borderId="2" xfId="1" applyFont="1" applyFill="1" applyBorder="1" applyAlignment="1">
      <alignment horizontal="right" vertical="center"/>
    </xf>
    <xf numFmtId="0" fontId="8" fillId="5" borderId="4" xfId="1" applyFont="1" applyFill="1" applyBorder="1" applyAlignment="1">
      <alignment horizontal="center" vertical="center" wrapText="1"/>
    </xf>
    <xf numFmtId="0" fontId="10" fillId="6" borderId="9" xfId="1" applyFont="1" applyFill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7" borderId="8" xfId="1" applyFont="1" applyFill="1" applyBorder="1" applyAlignment="1">
      <alignment horizontal="center" vertical="center"/>
    </xf>
    <xf numFmtId="0" fontId="10" fillId="6" borderId="8" xfId="1" applyFont="1" applyFill="1" applyBorder="1" applyAlignment="1">
      <alignment horizontal="center" vertical="center"/>
    </xf>
    <xf numFmtId="0" fontId="10" fillId="8" borderId="0" xfId="1" applyFont="1" applyFill="1" applyAlignment="1">
      <alignment horizontal="center" vertical="center"/>
    </xf>
    <xf numFmtId="0" fontId="10" fillId="6" borderId="11" xfId="1" applyFont="1" applyFill="1" applyBorder="1" applyAlignment="1">
      <alignment horizontal="center" vertical="center"/>
    </xf>
    <xf numFmtId="0" fontId="10" fillId="6" borderId="12" xfId="1" applyFont="1" applyFill="1" applyBorder="1" applyAlignment="1">
      <alignment horizontal="center" vertical="center"/>
    </xf>
    <xf numFmtId="0" fontId="10" fillId="7" borderId="12" xfId="1" applyFont="1" applyFill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8" fillId="0" borderId="8" xfId="1" applyFont="1" applyBorder="1" applyAlignment="1">
      <alignment vertical="center"/>
    </xf>
    <xf numFmtId="0" fontId="10" fillId="0" borderId="13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2" fontId="10" fillId="0" borderId="8" xfId="1" applyNumberFormat="1" applyFont="1" applyBorder="1" applyAlignment="1">
      <alignment horizontal="center" vertical="center"/>
    </xf>
    <xf numFmtId="164" fontId="10" fillId="0" borderId="8" xfId="1" applyNumberFormat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10" fontId="10" fillId="0" borderId="18" xfId="1" applyNumberFormat="1" applyFont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3" borderId="3" xfId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18" fillId="0" borderId="0" xfId="0" applyFont="1" applyAlignment="1">
      <alignment vertical="center"/>
    </xf>
    <xf numFmtId="0" fontId="17" fillId="9" borderId="2" xfId="1" applyFont="1" applyFill="1" applyBorder="1" applyAlignment="1">
      <alignment horizontal="center" vertical="center" wrapText="1"/>
    </xf>
    <xf numFmtId="0" fontId="17" fillId="10" borderId="2" xfId="1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right" vertical="center" wrapText="1"/>
    </xf>
    <xf numFmtId="0" fontId="13" fillId="6" borderId="19" xfId="0" applyFont="1" applyFill="1" applyBorder="1" applyAlignment="1">
      <alignment vertical="center" wrapText="1"/>
    </xf>
    <xf numFmtId="0" fontId="13" fillId="6" borderId="20" xfId="0" applyFont="1" applyFill="1" applyBorder="1" applyAlignment="1">
      <alignment vertical="center" wrapText="1"/>
    </xf>
    <xf numFmtId="0" fontId="13" fillId="6" borderId="21" xfId="0" applyFont="1" applyFill="1" applyBorder="1" applyAlignment="1">
      <alignment vertical="center" wrapText="1"/>
    </xf>
    <xf numFmtId="0" fontId="13" fillId="6" borderId="22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right" vertical="center" wrapText="1"/>
    </xf>
    <xf numFmtId="0" fontId="13" fillId="6" borderId="7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left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10" borderId="7" xfId="0" applyFont="1" applyFill="1" applyBorder="1" applyAlignment="1">
      <alignment horizontal="center" vertical="center" wrapText="1"/>
    </xf>
    <xf numFmtId="0" fontId="13" fillId="6" borderId="23" xfId="0" applyFont="1" applyFill="1" applyBorder="1" applyAlignment="1">
      <alignment vertical="center" wrapText="1"/>
    </xf>
    <xf numFmtId="0" fontId="13" fillId="6" borderId="24" xfId="0" applyFont="1" applyFill="1" applyBorder="1" applyAlignment="1">
      <alignment vertical="center" wrapText="1"/>
    </xf>
    <xf numFmtId="0" fontId="13" fillId="6" borderId="25" xfId="0" applyFont="1" applyFill="1" applyBorder="1" applyAlignment="1">
      <alignment vertical="center" wrapText="1"/>
    </xf>
    <xf numFmtId="0" fontId="19" fillId="6" borderId="26" xfId="0" applyFont="1" applyFill="1" applyBorder="1" applyAlignment="1">
      <alignment vertical="center" wrapText="1"/>
    </xf>
    <xf numFmtId="0" fontId="19" fillId="6" borderId="7" xfId="0" applyFont="1" applyFill="1" applyBorder="1" applyAlignment="1">
      <alignment horizontal="left" vertical="center" wrapText="1"/>
    </xf>
    <xf numFmtId="0" fontId="19" fillId="6" borderId="7" xfId="0" applyFont="1" applyFill="1" applyBorder="1" applyAlignment="1">
      <alignment horizontal="center" vertical="center" wrapText="1"/>
    </xf>
    <xf numFmtId="0" fontId="19" fillId="10" borderId="7" xfId="0" applyFont="1" applyFill="1" applyBorder="1" applyAlignment="1">
      <alignment horizontal="center" vertical="center" wrapText="1"/>
    </xf>
    <xf numFmtId="2" fontId="13" fillId="6" borderId="7" xfId="0" applyNumberFormat="1" applyFont="1" applyFill="1" applyBorder="1" applyAlignment="1">
      <alignment horizontal="right" vertical="center" wrapText="1"/>
    </xf>
    <xf numFmtId="0" fontId="20" fillId="6" borderId="7" xfId="0" applyFont="1" applyFill="1" applyBorder="1" applyAlignment="1">
      <alignment horizontal="left" vertical="center" wrapText="1"/>
    </xf>
    <xf numFmtId="0" fontId="19" fillId="6" borderId="15" xfId="0" applyFont="1" applyFill="1" applyBorder="1" applyAlignment="1">
      <alignment vertical="center" wrapText="1"/>
    </xf>
    <xf numFmtId="0" fontId="19" fillId="6" borderId="10" xfId="0" applyFont="1" applyFill="1" applyBorder="1" applyAlignment="1">
      <alignment horizontal="left" vertical="center" wrapText="1"/>
    </xf>
    <xf numFmtId="0" fontId="19" fillId="6" borderId="10" xfId="0" applyFont="1" applyFill="1" applyBorder="1" applyAlignment="1">
      <alignment horizontal="center" vertical="center" wrapText="1"/>
    </xf>
    <xf numFmtId="0" fontId="19" fillId="10" borderId="10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left" vertical="center" wrapText="1"/>
    </xf>
    <xf numFmtId="0" fontId="13" fillId="6" borderId="27" xfId="0" applyFont="1" applyFill="1" applyBorder="1" applyAlignment="1">
      <alignment vertical="center" wrapText="1"/>
    </xf>
    <xf numFmtId="0" fontId="13" fillId="6" borderId="6" xfId="0" applyFont="1" applyFill="1" applyBorder="1" applyAlignment="1">
      <alignment horizontal="right" vertical="center" wrapText="1"/>
    </xf>
    <xf numFmtId="0" fontId="13" fillId="6" borderId="28" xfId="0" applyFont="1" applyFill="1" applyBorder="1" applyAlignment="1">
      <alignment vertical="center" wrapText="1"/>
    </xf>
    <xf numFmtId="0" fontId="13" fillId="6" borderId="6" xfId="0" applyFont="1" applyFill="1" applyBorder="1" applyAlignment="1">
      <alignment horizontal="left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3" fillId="10" borderId="6" xfId="0" applyFont="1" applyFill="1" applyBorder="1" applyAlignment="1">
      <alignment horizontal="center" vertical="center" wrapText="1"/>
    </xf>
    <xf numFmtId="0" fontId="13" fillId="6" borderId="29" xfId="0" applyFont="1" applyFill="1" applyBorder="1" applyAlignment="1">
      <alignment vertical="center" wrapText="1"/>
    </xf>
    <xf numFmtId="0" fontId="13" fillId="6" borderId="30" xfId="0" applyFont="1" applyFill="1" applyBorder="1" applyAlignment="1">
      <alignment horizontal="left" vertical="center" wrapText="1"/>
    </xf>
    <xf numFmtId="0" fontId="13" fillId="6" borderId="30" xfId="0" applyFont="1" applyFill="1" applyBorder="1" applyAlignment="1">
      <alignment vertical="center" wrapText="1"/>
    </xf>
    <xf numFmtId="0" fontId="13" fillId="6" borderId="31" xfId="0" applyFont="1" applyFill="1" applyBorder="1" applyAlignment="1">
      <alignment horizontal="center" vertical="center" wrapText="1"/>
    </xf>
    <xf numFmtId="0" fontId="13" fillId="10" borderId="31" xfId="0" applyFont="1" applyFill="1" applyBorder="1" applyAlignment="1">
      <alignment horizontal="center" vertical="center" wrapText="1"/>
    </xf>
    <xf numFmtId="0" fontId="13" fillId="6" borderId="31" xfId="0" applyFont="1" applyFill="1" applyBorder="1" applyAlignment="1">
      <alignment horizontal="left" vertical="center" wrapText="1"/>
    </xf>
    <xf numFmtId="0" fontId="4" fillId="0" borderId="0" xfId="1" applyFont="1" applyAlignment="1">
      <alignment horizontal="center" vertical="center"/>
    </xf>
    <xf numFmtId="0" fontId="5" fillId="8" borderId="5" xfId="1" applyFont="1" applyFill="1" applyBorder="1" applyAlignment="1">
      <alignment vertical="center"/>
    </xf>
    <xf numFmtId="0" fontId="16" fillId="6" borderId="19" xfId="0" applyFont="1" applyFill="1" applyBorder="1" applyAlignment="1">
      <alignment vertical="center"/>
    </xf>
    <xf numFmtId="0" fontId="16" fillId="6" borderId="7" xfId="0" applyFont="1" applyFill="1" applyBorder="1" applyAlignment="1">
      <alignment vertical="center"/>
    </xf>
    <xf numFmtId="0" fontId="6" fillId="4" borderId="4" xfId="1" applyFont="1" applyFill="1" applyBorder="1" applyAlignment="1">
      <alignment horizontal="center" vertical="center" wrapText="1"/>
    </xf>
    <xf numFmtId="0" fontId="6" fillId="4" borderId="6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2" borderId="1" xfId="1" applyFont="1" applyFill="1" applyBorder="1" applyAlignment="1">
      <alignment horizontal="right" vertical="center"/>
    </xf>
    <xf numFmtId="0" fontId="5" fillId="2" borderId="3" xfId="1" applyFont="1" applyFill="1" applyBorder="1" applyAlignment="1">
      <alignment horizontal="right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8" fillId="4" borderId="4" xfId="1" applyFont="1" applyFill="1" applyBorder="1" applyAlignment="1">
      <alignment horizontal="center" vertical="center" wrapText="1"/>
    </xf>
    <xf numFmtId="0" fontId="8" fillId="4" borderId="6" xfId="1" applyFont="1" applyFill="1" applyBorder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8" fillId="3" borderId="1" xfId="1" quotePrefix="1" applyFont="1" applyFill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8" fillId="4" borderId="10" xfId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8" fillId="4" borderId="5" xfId="1" applyFont="1" applyFill="1" applyBorder="1" applyAlignment="1">
      <alignment horizontal="center" vertical="center" wrapText="1"/>
    </xf>
    <xf numFmtId="0" fontId="8" fillId="4" borderId="3" xfId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textRotation="90"/>
    </xf>
    <xf numFmtId="0" fontId="18" fillId="0" borderId="10" xfId="0" applyFont="1" applyBorder="1" applyAlignment="1">
      <alignment horizontal="center" vertical="center" textRotation="90"/>
    </xf>
    <xf numFmtId="0" fontId="18" fillId="0" borderId="6" xfId="0" applyFont="1" applyBorder="1" applyAlignment="1">
      <alignment horizontal="center" vertical="center" textRotation="90"/>
    </xf>
    <xf numFmtId="0" fontId="18" fillId="0" borderId="10" xfId="0" applyFont="1" applyBorder="1" applyAlignment="1">
      <alignment horizontal="center" vertical="center" textRotation="90" wrapText="1"/>
    </xf>
    <xf numFmtId="0" fontId="18" fillId="0" borderId="6" xfId="0" applyFont="1" applyBorder="1" applyAlignment="1">
      <alignment horizontal="center" vertical="center" textRotation="90" wrapText="1"/>
    </xf>
    <xf numFmtId="0" fontId="14" fillId="0" borderId="0" xfId="2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9" borderId="1" xfId="1" applyFont="1" applyFill="1" applyBorder="1" applyAlignment="1">
      <alignment horizontal="center" vertical="center"/>
    </xf>
    <xf numFmtId="0" fontId="17" fillId="9" borderId="3" xfId="1" applyFont="1" applyFill="1" applyBorder="1" applyAlignment="1">
      <alignment horizontal="center" vertical="center"/>
    </xf>
    <xf numFmtId="0" fontId="6" fillId="4" borderId="10" xfId="1" applyFont="1" applyFill="1" applyBorder="1" applyAlignment="1">
      <alignment horizontal="center" vertical="center" wrapText="1"/>
    </xf>
    <xf numFmtId="0" fontId="7" fillId="8" borderId="26" xfId="1" applyFont="1" applyFill="1" applyBorder="1" applyAlignment="1">
      <alignment vertical="center"/>
    </xf>
    <xf numFmtId="0" fontId="5" fillId="8" borderId="17" xfId="1" applyFont="1" applyFill="1" applyBorder="1" applyAlignment="1">
      <alignment horizontal="center" vertical="center"/>
    </xf>
    <xf numFmtId="0" fontId="5" fillId="8" borderId="17" xfId="1" applyFont="1" applyFill="1" applyBorder="1" applyAlignment="1">
      <alignment vertical="center"/>
    </xf>
    <xf numFmtId="0" fontId="7" fillId="0" borderId="8" xfId="1" applyFont="1" applyBorder="1" applyAlignment="1">
      <alignment vertical="center"/>
    </xf>
    <xf numFmtId="0" fontId="6" fillId="4" borderId="1" xfId="1" applyFont="1" applyFill="1" applyBorder="1" applyAlignment="1">
      <alignment horizontal="center" vertical="center" wrapText="1"/>
    </xf>
    <xf numFmtId="0" fontId="6" fillId="4" borderId="5" xfId="1" applyFont="1" applyFill="1" applyBorder="1" applyAlignment="1">
      <alignment horizontal="center" vertical="center" wrapText="1"/>
    </xf>
    <xf numFmtId="0" fontId="6" fillId="4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22" fillId="0" borderId="0" xfId="0" applyFont="1"/>
    <xf numFmtId="0" fontId="7" fillId="6" borderId="9" xfId="1" applyFont="1" applyFill="1" applyBorder="1" applyAlignment="1">
      <alignment vertical="center"/>
    </xf>
  </cellXfs>
  <cellStyles count="3">
    <cellStyle name="Normal" xfId="0" builtinId="0"/>
    <cellStyle name="Normal 2" xfId="1" xr:uid="{944E076D-2497-4BDA-B601-A69DBF83158B}"/>
    <cellStyle name="Normal 2 2" xfId="2" xr:uid="{2564CDE6-5EAD-4FD0-9E2A-D580F4EA48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462AD-9503-45DD-AF47-A47723909583}">
  <dimension ref="A1:N109"/>
  <sheetViews>
    <sheetView topLeftCell="A16" workbookViewId="0">
      <selection activeCell="N10" sqref="N10"/>
    </sheetView>
  </sheetViews>
  <sheetFormatPr defaultRowHeight="14.25" x14ac:dyDescent="0.2"/>
  <cols>
    <col min="1" max="1" width="9.140625" style="116"/>
    <col min="2" max="2" width="21.85546875" style="116" customWidth="1"/>
    <col min="3" max="4" width="13.42578125" style="116" customWidth="1"/>
    <col min="5" max="5" width="36.85546875" style="116" bestFit="1" customWidth="1"/>
    <col min="6" max="6" width="9.42578125" style="116" customWidth="1"/>
    <col min="7" max="7" width="11.7109375" style="116" customWidth="1"/>
    <col min="8" max="8" width="16.85546875" style="116" customWidth="1"/>
    <col min="9" max="9" width="12.28515625" style="116" customWidth="1"/>
    <col min="10" max="10" width="11.85546875" style="116" bestFit="1" customWidth="1"/>
    <col min="11" max="11" width="9.140625" style="116"/>
    <col min="12" max="14" width="14.7109375" style="116" customWidth="1"/>
    <col min="15" max="16384" width="9.140625" style="116"/>
  </cols>
  <sheetData>
    <row r="1" spans="1:14" ht="18" x14ac:dyDescent="0.2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</row>
    <row r="2" spans="1:14" ht="18" x14ac:dyDescent="0.2">
      <c r="A2" s="80" t="s">
        <v>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</row>
    <row r="3" spans="1:14" ht="15" x14ac:dyDescent="0.2">
      <c r="A3" s="81" t="s">
        <v>2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1" t="s">
        <v>3</v>
      </c>
    </row>
    <row r="4" spans="1:14" ht="15.75" thickBot="1" x14ac:dyDescent="0.25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1"/>
    </row>
    <row r="5" spans="1:14" ht="15.75" thickBot="1" x14ac:dyDescent="0.25">
      <c r="A5" s="2" t="s">
        <v>4</v>
      </c>
      <c r="B5" s="3" t="s">
        <v>5</v>
      </c>
      <c r="C5" s="1"/>
      <c r="D5" s="1"/>
      <c r="E5" s="1"/>
      <c r="F5" s="4"/>
      <c r="G5" s="82" t="s">
        <v>6</v>
      </c>
      <c r="H5" s="83"/>
      <c r="I5" s="1"/>
      <c r="J5" s="1"/>
      <c r="K5" s="1"/>
      <c r="L5" s="5" t="s">
        <v>7</v>
      </c>
      <c r="M5" s="84" t="s">
        <v>8</v>
      </c>
      <c r="N5" s="85"/>
    </row>
    <row r="6" spans="1:14" ht="15.75" thickBot="1" x14ac:dyDescent="0.25">
      <c r="A6" s="1"/>
      <c r="B6" s="1"/>
      <c r="C6" s="1"/>
      <c r="D6" s="1"/>
      <c r="E6" s="1"/>
      <c r="F6" s="1"/>
      <c r="G6" s="1"/>
      <c r="H6" s="4"/>
      <c r="I6" s="4"/>
      <c r="J6" s="4"/>
      <c r="K6" s="4"/>
      <c r="L6" s="4"/>
      <c r="M6" s="1"/>
      <c r="N6" s="1"/>
    </row>
    <row r="7" spans="1:14" ht="15" thickBot="1" x14ac:dyDescent="0.25">
      <c r="A7" s="77" t="s">
        <v>9</v>
      </c>
      <c r="B7" s="77" t="s">
        <v>10</v>
      </c>
      <c r="C7" s="77" t="s">
        <v>11</v>
      </c>
      <c r="D7" s="77" t="s">
        <v>12</v>
      </c>
      <c r="E7" s="77" t="s">
        <v>13</v>
      </c>
      <c r="F7" s="77" t="s">
        <v>14</v>
      </c>
      <c r="G7" s="112" t="s">
        <v>15</v>
      </c>
      <c r="H7" s="113"/>
      <c r="I7" s="113"/>
      <c r="J7" s="114"/>
      <c r="K7" s="77" t="s">
        <v>16</v>
      </c>
      <c r="L7" s="77" t="s">
        <v>17</v>
      </c>
      <c r="M7" s="77" t="s">
        <v>144</v>
      </c>
      <c r="N7" s="77" t="s">
        <v>18</v>
      </c>
    </row>
    <row r="8" spans="1:14" ht="72" thickBot="1" x14ac:dyDescent="0.25">
      <c r="A8" s="107"/>
      <c r="B8" s="107"/>
      <c r="C8" s="107"/>
      <c r="D8" s="107"/>
      <c r="E8" s="107"/>
      <c r="F8" s="107"/>
      <c r="G8" s="115" t="s">
        <v>19</v>
      </c>
      <c r="H8" s="115" t="s">
        <v>20</v>
      </c>
      <c r="I8" s="115" t="s">
        <v>21</v>
      </c>
      <c r="J8" s="115" t="s">
        <v>22</v>
      </c>
      <c r="K8" s="107"/>
      <c r="L8" s="107"/>
      <c r="M8" s="107"/>
      <c r="N8" s="78"/>
    </row>
    <row r="9" spans="1:14" ht="15.75" thickBot="1" x14ac:dyDescent="0.25">
      <c r="A9" s="111">
        <v>1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7" t="e">
        <f>3600*H9*(L9*G9*J9)/(I9*M9*60)</f>
        <v>#DIV/0!</v>
      </c>
    </row>
    <row r="10" spans="1:14" ht="15.75" thickBot="1" x14ac:dyDescent="0.25">
      <c r="A10" s="111">
        <v>2</v>
      </c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7" t="e">
        <f>3600*(L10*G10*J10)/(I10*M10)</f>
        <v>#DIV/0!</v>
      </c>
    </row>
    <row r="11" spans="1:14" ht="15.75" thickBot="1" x14ac:dyDescent="0.25">
      <c r="A11" s="111">
        <v>3</v>
      </c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7" t="e">
        <f>3600*(L11*G11*J11)/(I11*M11)</f>
        <v>#DIV/0!</v>
      </c>
    </row>
    <row r="12" spans="1:14" ht="15.75" thickBot="1" x14ac:dyDescent="0.25">
      <c r="A12" s="111">
        <v>4</v>
      </c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7" t="e">
        <f>3600*(L12*G12*J12)/(I12*M12)</f>
        <v>#DIV/0!</v>
      </c>
    </row>
    <row r="13" spans="1:14" ht="15.75" thickBot="1" x14ac:dyDescent="0.25">
      <c r="A13" s="111">
        <v>5</v>
      </c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7" t="e">
        <f>3600*(L13*G13*J13)/(I13*M13)</f>
        <v>#DIV/0!</v>
      </c>
    </row>
    <row r="14" spans="1:14" ht="15.75" thickBot="1" x14ac:dyDescent="0.25">
      <c r="A14" s="111">
        <v>6</v>
      </c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7" t="e">
        <f>3600*(L14*G14*J14)/(I14*M14)</f>
        <v>#DIV/0!</v>
      </c>
    </row>
    <row r="15" spans="1:14" ht="15.75" thickBot="1" x14ac:dyDescent="0.25">
      <c r="A15" s="111">
        <v>7</v>
      </c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7" t="e">
        <f>3600*(L15*G15*J15)/(I15*M15)</f>
        <v>#DIV/0!</v>
      </c>
    </row>
    <row r="16" spans="1:14" ht="15.75" thickBot="1" x14ac:dyDescent="0.25">
      <c r="A16" s="111">
        <v>8</v>
      </c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7" t="e">
        <f>3600*(L16*G16*J16)/(I16*M16)</f>
        <v>#DIV/0!</v>
      </c>
    </row>
    <row r="17" spans="1:14" ht="15.75" thickBot="1" x14ac:dyDescent="0.25">
      <c r="A17" s="111">
        <v>9</v>
      </c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7" t="e">
        <f>3600*(L17*G17*J17)/(I17*M17)</f>
        <v>#DIV/0!</v>
      </c>
    </row>
    <row r="18" spans="1:14" ht="15.75" thickBot="1" x14ac:dyDescent="0.25">
      <c r="A18" s="111">
        <v>10</v>
      </c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7" t="e">
        <f>3600*(L18*G18*J18)/(I18*M18)</f>
        <v>#DIV/0!</v>
      </c>
    </row>
    <row r="19" spans="1:14" ht="15.75" thickBot="1" x14ac:dyDescent="0.25">
      <c r="A19" s="111">
        <v>11</v>
      </c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7" t="e">
        <f>3600*(L19*G19*J19)/(I19*M19)</f>
        <v>#DIV/0!</v>
      </c>
    </row>
    <row r="20" spans="1:14" ht="15.75" thickBot="1" x14ac:dyDescent="0.25">
      <c r="A20" s="111">
        <v>12</v>
      </c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7" t="e">
        <f>3600*(L20*G20*J20)/(I20*M20)</f>
        <v>#DIV/0!</v>
      </c>
    </row>
    <row r="21" spans="1:14" ht="15.75" thickBot="1" x14ac:dyDescent="0.25">
      <c r="A21" s="111">
        <v>13</v>
      </c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7" t="e">
        <f>3600*(L21*G21*J21)/(I21*M21)</f>
        <v>#DIV/0!</v>
      </c>
    </row>
    <row r="22" spans="1:14" ht="15.75" thickBot="1" x14ac:dyDescent="0.25">
      <c r="A22" s="111">
        <v>14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7" t="e">
        <f>3600*(L22*G22*J22)/(I22*M22)</f>
        <v>#DIV/0!</v>
      </c>
    </row>
    <row r="23" spans="1:14" ht="15.75" thickBot="1" x14ac:dyDescent="0.25">
      <c r="A23" s="111">
        <v>15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7" t="e">
        <f>3600*(L23*G23*J23)/(I23*M23)</f>
        <v>#DIV/0!</v>
      </c>
    </row>
    <row r="24" spans="1:14" ht="15.75" thickBot="1" x14ac:dyDescent="0.25">
      <c r="A24" s="111">
        <v>16</v>
      </c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7" t="e">
        <f>3600*(L24*G24*J24)/(I24*M24)</f>
        <v>#DIV/0!</v>
      </c>
    </row>
    <row r="25" spans="1:14" ht="15.75" thickBot="1" x14ac:dyDescent="0.25">
      <c r="A25" s="111">
        <v>17</v>
      </c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7" t="e">
        <f>3600*(L25*G25*J25)/(I25*M25)</f>
        <v>#DIV/0!</v>
      </c>
    </row>
    <row r="26" spans="1:14" ht="15.75" thickBot="1" x14ac:dyDescent="0.25">
      <c r="A26" s="111">
        <v>18</v>
      </c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7" t="e">
        <f>3600*(L26*G26*J26)/(I26*M26)</f>
        <v>#DIV/0!</v>
      </c>
    </row>
    <row r="27" spans="1:14" ht="15.75" thickBot="1" x14ac:dyDescent="0.25">
      <c r="A27" s="111">
        <v>19</v>
      </c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7" t="e">
        <f>3600*(L27*G27*J27)/(I27*M27)</f>
        <v>#DIV/0!</v>
      </c>
    </row>
    <row r="28" spans="1:14" ht="15.75" thickBot="1" x14ac:dyDescent="0.25">
      <c r="A28" s="111">
        <v>20</v>
      </c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7" t="e">
        <f>3600*(L28*G28*J28)/(I28*M28)</f>
        <v>#DIV/0!</v>
      </c>
    </row>
    <row r="29" spans="1:14" ht="15.75" thickBot="1" x14ac:dyDescent="0.25">
      <c r="A29" s="111">
        <v>21</v>
      </c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7" t="e">
        <f>3600*(L29*G29*J29)/(I29*M29)</f>
        <v>#DIV/0!</v>
      </c>
    </row>
    <row r="30" spans="1:14" ht="15.75" thickBot="1" x14ac:dyDescent="0.25">
      <c r="A30" s="111">
        <v>22</v>
      </c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7" t="e">
        <f>3600*(L30*G30*J30)/(I30*M30)</f>
        <v>#DIV/0!</v>
      </c>
    </row>
    <row r="31" spans="1:14" ht="15.75" thickBot="1" x14ac:dyDescent="0.25">
      <c r="A31" s="111">
        <v>23</v>
      </c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7" t="e">
        <f>3600*(L31*G31*J31)/(I31*M31)</f>
        <v>#DIV/0!</v>
      </c>
    </row>
    <row r="32" spans="1:14" ht="15.75" thickBot="1" x14ac:dyDescent="0.25">
      <c r="A32" s="111">
        <v>24</v>
      </c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7" t="e">
        <f>3600*(L32*G32*J32)/(I32*M32)</f>
        <v>#DIV/0!</v>
      </c>
    </row>
    <row r="33" spans="1:14" ht="15.75" thickBot="1" x14ac:dyDescent="0.25">
      <c r="A33" s="111">
        <v>25</v>
      </c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7" t="e">
        <f>3600*(L33*G33*J33)/(I33*M33)</f>
        <v>#DIV/0!</v>
      </c>
    </row>
    <row r="34" spans="1:14" ht="15.75" thickBot="1" x14ac:dyDescent="0.25">
      <c r="A34" s="111">
        <v>26</v>
      </c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7" t="e">
        <f>3600*(L34*G34*J34)/(I34*M34)</f>
        <v>#DIV/0!</v>
      </c>
    </row>
    <row r="35" spans="1:14" ht="15.75" thickBot="1" x14ac:dyDescent="0.25">
      <c r="A35" s="111">
        <v>27</v>
      </c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7" t="e">
        <f>3600*(L35*G35*J35)/(I35*M35)</f>
        <v>#DIV/0!</v>
      </c>
    </row>
    <row r="36" spans="1:14" ht="15.75" thickBot="1" x14ac:dyDescent="0.25">
      <c r="A36" s="111">
        <v>28</v>
      </c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7" t="e">
        <f>3600*(L36*G36*J36)/(I36*M36)</f>
        <v>#DIV/0!</v>
      </c>
    </row>
    <row r="37" spans="1:14" ht="15.75" thickBot="1" x14ac:dyDescent="0.25">
      <c r="A37" s="111">
        <v>29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7" t="e">
        <f>3600*(L37*G37*J37)/(I37*M37)</f>
        <v>#DIV/0!</v>
      </c>
    </row>
    <row r="38" spans="1:14" ht="15.75" thickBot="1" x14ac:dyDescent="0.25">
      <c r="A38" s="111">
        <v>30</v>
      </c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7" t="e">
        <f>3600*(L38*G38*J38)/(I38*M38)</f>
        <v>#DIV/0!</v>
      </c>
    </row>
    <row r="39" spans="1:14" ht="15.75" thickBot="1" x14ac:dyDescent="0.25">
      <c r="A39" s="111">
        <v>31</v>
      </c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7" t="e">
        <f>3600*(L39*G39*J39)/(I39*M39)</f>
        <v>#DIV/0!</v>
      </c>
    </row>
    <row r="40" spans="1:14" ht="15.75" thickBot="1" x14ac:dyDescent="0.25">
      <c r="A40" s="111">
        <v>32</v>
      </c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7" t="e">
        <f>3600*(L40*G40*J40)/(I40*M40)</f>
        <v>#DIV/0!</v>
      </c>
    </row>
    <row r="41" spans="1:14" ht="15.75" thickBot="1" x14ac:dyDescent="0.25">
      <c r="A41" s="111">
        <v>33</v>
      </c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7" t="e">
        <f>3600*(L41*G41*J41)/(I41*M41)</f>
        <v>#DIV/0!</v>
      </c>
    </row>
    <row r="42" spans="1:14" ht="15.75" thickBot="1" x14ac:dyDescent="0.25">
      <c r="A42" s="111">
        <v>34</v>
      </c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7" t="e">
        <f>3600*(L42*G42*J42)/(I42*M42)</f>
        <v>#DIV/0!</v>
      </c>
    </row>
    <row r="43" spans="1:14" ht="15.75" thickBot="1" x14ac:dyDescent="0.25">
      <c r="A43" s="111">
        <v>35</v>
      </c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7" t="e">
        <f>3600*(L43*G43*J43)/(I43*M43)</f>
        <v>#DIV/0!</v>
      </c>
    </row>
    <row r="44" spans="1:14" ht="15.75" thickBot="1" x14ac:dyDescent="0.25">
      <c r="A44" s="111">
        <v>36</v>
      </c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7" t="e">
        <f>3600*(L44*G44*J44)/(I44*M44)</f>
        <v>#DIV/0!</v>
      </c>
    </row>
    <row r="45" spans="1:14" ht="15.75" thickBot="1" x14ac:dyDescent="0.25">
      <c r="A45" s="111">
        <v>37</v>
      </c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7" t="e">
        <f>3600*(L45*G45*J45)/(I45*M45)</f>
        <v>#DIV/0!</v>
      </c>
    </row>
    <row r="46" spans="1:14" ht="15.75" thickBot="1" x14ac:dyDescent="0.25">
      <c r="A46" s="111">
        <v>38</v>
      </c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7" t="e">
        <f>3600*(L46*G46*J46)/(I46*M46)</f>
        <v>#DIV/0!</v>
      </c>
    </row>
    <row r="47" spans="1:14" ht="15.75" thickBot="1" x14ac:dyDescent="0.25">
      <c r="A47" s="111">
        <v>39</v>
      </c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7" t="e">
        <f>3600*(L47*G47*J47)/(I47*M47)</f>
        <v>#DIV/0!</v>
      </c>
    </row>
    <row r="48" spans="1:14" ht="15.75" thickBot="1" x14ac:dyDescent="0.25">
      <c r="A48" s="111">
        <v>40</v>
      </c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7" t="e">
        <f>3600*(L48*G48*J48)/(I48*M48)</f>
        <v>#DIV/0!</v>
      </c>
    </row>
    <row r="49" spans="1:14" ht="15.75" thickBot="1" x14ac:dyDescent="0.25">
      <c r="A49" s="111">
        <v>41</v>
      </c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7" t="e">
        <f>3600*(L49*G49*J49)/(I49*M49)</f>
        <v>#DIV/0!</v>
      </c>
    </row>
    <row r="50" spans="1:14" ht="15.75" thickBot="1" x14ac:dyDescent="0.25">
      <c r="A50" s="111">
        <v>42</v>
      </c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7" t="e">
        <f>3600*(L50*G50*J50)/(I50*M50)</f>
        <v>#DIV/0!</v>
      </c>
    </row>
    <row r="51" spans="1:14" ht="15.75" thickBot="1" x14ac:dyDescent="0.25">
      <c r="A51" s="111">
        <v>43</v>
      </c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7" t="e">
        <f>3600*(L51*G51*J51)/(I51*M51)</f>
        <v>#DIV/0!</v>
      </c>
    </row>
    <row r="52" spans="1:14" ht="15.75" thickBot="1" x14ac:dyDescent="0.25">
      <c r="A52" s="111">
        <v>44</v>
      </c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7" t="e">
        <f>3600*(L52*G52*J52)/(I52*M52)</f>
        <v>#DIV/0!</v>
      </c>
    </row>
    <row r="53" spans="1:14" ht="15.75" thickBot="1" x14ac:dyDescent="0.25">
      <c r="A53" s="111">
        <v>45</v>
      </c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7" t="e">
        <f>3600*(L53*G53*J53)/(I53*M53)</f>
        <v>#DIV/0!</v>
      </c>
    </row>
    <row r="54" spans="1:14" ht="15.75" thickBot="1" x14ac:dyDescent="0.25">
      <c r="A54" s="111">
        <v>46</v>
      </c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7" t="e">
        <f>3600*(L54*G54*J54)/(I54*M54)</f>
        <v>#DIV/0!</v>
      </c>
    </row>
    <row r="55" spans="1:14" ht="15.75" thickBot="1" x14ac:dyDescent="0.25">
      <c r="A55" s="111">
        <v>47</v>
      </c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7" t="e">
        <f>3600*(L55*G55*J55)/(I55*M55)</f>
        <v>#DIV/0!</v>
      </c>
    </row>
    <row r="56" spans="1:14" ht="15.75" thickBot="1" x14ac:dyDescent="0.25">
      <c r="A56" s="111">
        <v>48</v>
      </c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7" t="e">
        <f>3600*(L56*G56*J56)/(I56*M56)</f>
        <v>#DIV/0!</v>
      </c>
    </row>
    <row r="57" spans="1:14" ht="15.75" thickBot="1" x14ac:dyDescent="0.25">
      <c r="A57" s="111">
        <v>49</v>
      </c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7" t="e">
        <f>3600*(L57*G57*J57)/(I57*M57)</f>
        <v>#DIV/0!</v>
      </c>
    </row>
    <row r="58" spans="1:14" ht="15.75" thickBot="1" x14ac:dyDescent="0.25">
      <c r="A58" s="111">
        <v>50</v>
      </c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7" t="e">
        <f>3600*(L58*G58*J58)/(I58*M58)</f>
        <v>#DIV/0!</v>
      </c>
    </row>
    <row r="59" spans="1:14" ht="15.75" thickBot="1" x14ac:dyDescent="0.25">
      <c r="A59" s="111">
        <v>51</v>
      </c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7" t="e">
        <f>3600*(L59*G59*J59)/(I59*M59)</f>
        <v>#DIV/0!</v>
      </c>
    </row>
    <row r="60" spans="1:14" ht="15.75" thickBot="1" x14ac:dyDescent="0.25">
      <c r="A60" s="111">
        <v>52</v>
      </c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7" t="e">
        <f>3600*(L60*G60*J60)/(I60*M60)</f>
        <v>#DIV/0!</v>
      </c>
    </row>
    <row r="61" spans="1:14" ht="15.75" thickBot="1" x14ac:dyDescent="0.25">
      <c r="A61" s="111">
        <v>53</v>
      </c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7" t="e">
        <f>3600*(L61*G61*J61)/(I61*M61)</f>
        <v>#DIV/0!</v>
      </c>
    </row>
    <row r="62" spans="1:14" ht="15.75" thickBot="1" x14ac:dyDescent="0.25">
      <c r="A62" s="111">
        <v>54</v>
      </c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7" t="e">
        <f>3600*(L62*G62*J62)/(I62*M62)</f>
        <v>#DIV/0!</v>
      </c>
    </row>
    <row r="63" spans="1:14" ht="15.75" thickBot="1" x14ac:dyDescent="0.25">
      <c r="A63" s="111">
        <v>55</v>
      </c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7" t="e">
        <f>3600*(L63*G63*J63)/(I63*M63)</f>
        <v>#DIV/0!</v>
      </c>
    </row>
    <row r="64" spans="1:14" ht="15.75" thickBot="1" x14ac:dyDescent="0.25">
      <c r="A64" s="111">
        <v>56</v>
      </c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7" t="e">
        <f>3600*(L64*G64*J64)/(I64*M64)</f>
        <v>#DIV/0!</v>
      </c>
    </row>
    <row r="65" spans="1:14" ht="15.75" thickBot="1" x14ac:dyDescent="0.25">
      <c r="A65" s="111">
        <v>57</v>
      </c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7" t="e">
        <f>3600*(L65*G65*J65)/(I65*M65)</f>
        <v>#DIV/0!</v>
      </c>
    </row>
    <row r="66" spans="1:14" ht="15.75" thickBot="1" x14ac:dyDescent="0.25">
      <c r="A66" s="111">
        <v>58</v>
      </c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7" t="e">
        <f>3600*(L66*G66*J66)/(I66*M66)</f>
        <v>#DIV/0!</v>
      </c>
    </row>
    <row r="67" spans="1:14" ht="15.75" thickBot="1" x14ac:dyDescent="0.25">
      <c r="A67" s="111">
        <v>59</v>
      </c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7" t="e">
        <f>3600*(L67*G67*J67)/(I67*M67)</f>
        <v>#DIV/0!</v>
      </c>
    </row>
    <row r="68" spans="1:14" ht="15.75" thickBot="1" x14ac:dyDescent="0.25">
      <c r="A68" s="111">
        <v>60</v>
      </c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7" t="e">
        <f>3600*(L68*G68*J68)/(I68*M68)</f>
        <v>#DIV/0!</v>
      </c>
    </row>
    <row r="69" spans="1:14" ht="15.75" thickBot="1" x14ac:dyDescent="0.25">
      <c r="A69" s="111">
        <v>61</v>
      </c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7" t="e">
        <f>3600*(L69*G69*J69)/(I69*M69)</f>
        <v>#DIV/0!</v>
      </c>
    </row>
    <row r="70" spans="1:14" ht="15.75" thickBot="1" x14ac:dyDescent="0.25">
      <c r="A70" s="111">
        <v>62</v>
      </c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7" t="e">
        <f>3600*(L70*G70*J70)/(I70*M70)</f>
        <v>#DIV/0!</v>
      </c>
    </row>
    <row r="71" spans="1:14" ht="15.75" thickBot="1" x14ac:dyDescent="0.25">
      <c r="A71" s="111">
        <v>63</v>
      </c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7" t="e">
        <f>3600*(L71*G71*J71)/(I71*M71)</f>
        <v>#DIV/0!</v>
      </c>
    </row>
    <row r="72" spans="1:14" ht="15.75" thickBot="1" x14ac:dyDescent="0.25">
      <c r="A72" s="111">
        <v>64</v>
      </c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7" t="e">
        <f>3600*(L72*G72*J72)/(I72*M72)</f>
        <v>#DIV/0!</v>
      </c>
    </row>
    <row r="73" spans="1:14" ht="15.75" thickBot="1" x14ac:dyDescent="0.25">
      <c r="A73" s="111">
        <v>65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7" t="e">
        <f>3600*(L73*G73*J73)/(I73*M73)</f>
        <v>#DIV/0!</v>
      </c>
    </row>
    <row r="74" spans="1:14" ht="15.75" thickBot="1" x14ac:dyDescent="0.25">
      <c r="A74" s="111">
        <v>66</v>
      </c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7" t="e">
        <f>3600*(L74*G74*J74)/(I74*M74)</f>
        <v>#DIV/0!</v>
      </c>
    </row>
    <row r="75" spans="1:14" ht="15.75" thickBot="1" x14ac:dyDescent="0.25">
      <c r="A75" s="111">
        <v>67</v>
      </c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7" t="e">
        <f>3600*(L75*G75*J75)/(I75*M75)</f>
        <v>#DIV/0!</v>
      </c>
    </row>
    <row r="76" spans="1:14" ht="15.75" thickBot="1" x14ac:dyDescent="0.25">
      <c r="A76" s="111">
        <v>68</v>
      </c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7" t="e">
        <f>3600*(L76*G76*J76)/(I76*M76)</f>
        <v>#DIV/0!</v>
      </c>
    </row>
    <row r="77" spans="1:14" ht="15.75" thickBot="1" x14ac:dyDescent="0.25">
      <c r="A77" s="111">
        <v>69</v>
      </c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7" t="e">
        <f>3600*(L77*G77*J77)/(I77*M77)</f>
        <v>#DIV/0!</v>
      </c>
    </row>
    <row r="78" spans="1:14" ht="15.75" thickBot="1" x14ac:dyDescent="0.25">
      <c r="A78" s="111">
        <v>70</v>
      </c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7" t="e">
        <f>3600*(L78*G78*J78)/(I78*M78)</f>
        <v>#DIV/0!</v>
      </c>
    </row>
    <row r="79" spans="1:14" ht="15.75" thickBot="1" x14ac:dyDescent="0.25">
      <c r="A79" s="111">
        <v>71</v>
      </c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7" t="e">
        <f>3600*(L79*G79*J79)/(I79*M79)</f>
        <v>#DIV/0!</v>
      </c>
    </row>
    <row r="80" spans="1:14" ht="15.75" thickBot="1" x14ac:dyDescent="0.25">
      <c r="A80" s="111">
        <v>72</v>
      </c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7" t="e">
        <f>3600*(L80*G80*J80)/(I80*M80)</f>
        <v>#DIV/0!</v>
      </c>
    </row>
    <row r="81" spans="1:14" ht="15.75" thickBot="1" x14ac:dyDescent="0.25">
      <c r="A81" s="111">
        <v>73</v>
      </c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7" t="e">
        <f>3600*(L81*G81*J81)/(I81*M81)</f>
        <v>#DIV/0!</v>
      </c>
    </row>
    <row r="82" spans="1:14" ht="15.75" thickBot="1" x14ac:dyDescent="0.25">
      <c r="A82" s="111">
        <v>74</v>
      </c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7" t="e">
        <f>3600*(L82*G82*J82)/(I82*M82)</f>
        <v>#DIV/0!</v>
      </c>
    </row>
    <row r="83" spans="1:14" ht="15.75" thickBot="1" x14ac:dyDescent="0.25">
      <c r="A83" s="111">
        <v>75</v>
      </c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7" t="e">
        <f>3600*(L83*G83*J83)/(I83*M83)</f>
        <v>#DIV/0!</v>
      </c>
    </row>
    <row r="84" spans="1:14" ht="15.75" thickBot="1" x14ac:dyDescent="0.25">
      <c r="A84" s="111">
        <v>76</v>
      </c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7" t="e">
        <f>3600*(L84*G84*J84)/(I84*M84)</f>
        <v>#DIV/0!</v>
      </c>
    </row>
    <row r="85" spans="1:14" ht="15.75" thickBot="1" x14ac:dyDescent="0.25">
      <c r="A85" s="111">
        <v>77</v>
      </c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7" t="e">
        <f>3600*(L85*G85*J85)/(I85*M85)</f>
        <v>#DIV/0!</v>
      </c>
    </row>
    <row r="86" spans="1:14" ht="15.75" thickBot="1" x14ac:dyDescent="0.25">
      <c r="A86" s="111">
        <v>78</v>
      </c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7" t="e">
        <f>3600*(L86*G86*J86)/(I86*M86)</f>
        <v>#DIV/0!</v>
      </c>
    </row>
    <row r="87" spans="1:14" ht="15.75" thickBot="1" x14ac:dyDescent="0.25">
      <c r="A87" s="111">
        <v>79</v>
      </c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7" t="e">
        <f>3600*(L87*G87*J87)/(I87*M87)</f>
        <v>#DIV/0!</v>
      </c>
    </row>
    <row r="88" spans="1:14" ht="15.75" thickBot="1" x14ac:dyDescent="0.25">
      <c r="A88" s="111">
        <v>80</v>
      </c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7" t="e">
        <f>3600*(L88*G88*J88)/(I88*M88)</f>
        <v>#DIV/0!</v>
      </c>
    </row>
    <row r="89" spans="1:14" ht="15.75" thickBot="1" x14ac:dyDescent="0.25">
      <c r="A89" s="111">
        <v>81</v>
      </c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7" t="e">
        <f>3600*(L89*G89*J89)/(I89*M89)</f>
        <v>#DIV/0!</v>
      </c>
    </row>
    <row r="90" spans="1:14" ht="15.75" thickBot="1" x14ac:dyDescent="0.25">
      <c r="A90" s="111">
        <v>82</v>
      </c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7" t="e">
        <f>3600*(L90*G90*J90)/(I90*M90)</f>
        <v>#DIV/0!</v>
      </c>
    </row>
    <row r="91" spans="1:14" ht="15.75" thickBot="1" x14ac:dyDescent="0.25">
      <c r="A91" s="111">
        <v>83</v>
      </c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7" t="e">
        <f>3600*(L91*G91*J91)/(I91*M91)</f>
        <v>#DIV/0!</v>
      </c>
    </row>
    <row r="92" spans="1:14" ht="15.75" thickBot="1" x14ac:dyDescent="0.25">
      <c r="A92" s="111">
        <v>84</v>
      </c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7" t="e">
        <f>3600*(L92*G92*J92)/(I92*M92)</f>
        <v>#DIV/0!</v>
      </c>
    </row>
    <row r="93" spans="1:14" ht="15.75" thickBot="1" x14ac:dyDescent="0.25">
      <c r="A93" s="111">
        <v>85</v>
      </c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7" t="e">
        <f>3600*(L93*G93*J93)/(I93*M93)</f>
        <v>#DIV/0!</v>
      </c>
    </row>
    <row r="94" spans="1:14" ht="15.75" thickBot="1" x14ac:dyDescent="0.25">
      <c r="A94" s="111">
        <v>86</v>
      </c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7" t="e">
        <f>3600*(L94*G94*J94)/(I94*M94)</f>
        <v>#DIV/0!</v>
      </c>
    </row>
    <row r="95" spans="1:14" ht="15.75" thickBot="1" x14ac:dyDescent="0.25">
      <c r="A95" s="111">
        <v>87</v>
      </c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7" t="e">
        <f>3600*(L95*G95*J95)/(I95*M95)</f>
        <v>#DIV/0!</v>
      </c>
    </row>
    <row r="96" spans="1:14" ht="15.75" thickBot="1" x14ac:dyDescent="0.25">
      <c r="A96" s="111">
        <v>88</v>
      </c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7" t="e">
        <f>3600*(L96*G96*J96)/(I96*M96)</f>
        <v>#DIV/0!</v>
      </c>
    </row>
    <row r="97" spans="1:14" ht="15.75" thickBot="1" x14ac:dyDescent="0.25">
      <c r="A97" s="111">
        <v>89</v>
      </c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7" t="e">
        <f>3600*(L97*G97*J97)/(I97*M97)</f>
        <v>#DIV/0!</v>
      </c>
    </row>
    <row r="98" spans="1:14" ht="15.75" thickBot="1" x14ac:dyDescent="0.25">
      <c r="A98" s="111">
        <v>90</v>
      </c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7" t="e">
        <f>3600*(L98*G98*J98)/(I98*M98)</f>
        <v>#DIV/0!</v>
      </c>
    </row>
    <row r="99" spans="1:14" ht="15.75" thickBot="1" x14ac:dyDescent="0.25">
      <c r="A99" s="111">
        <v>91</v>
      </c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7" t="e">
        <f>3600*(L99*G99*J99)/(I99*M99)</f>
        <v>#DIV/0!</v>
      </c>
    </row>
    <row r="100" spans="1:14" ht="15.75" thickBot="1" x14ac:dyDescent="0.25">
      <c r="A100" s="111">
        <v>92</v>
      </c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7" t="e">
        <f>3600*(L100*G100*J100)/(I100*M100)</f>
        <v>#DIV/0!</v>
      </c>
    </row>
    <row r="101" spans="1:14" ht="15.75" thickBot="1" x14ac:dyDescent="0.25">
      <c r="A101" s="111">
        <v>93</v>
      </c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7" t="e">
        <f>3600*(L101*G101*J101)/(I101*M101)</f>
        <v>#DIV/0!</v>
      </c>
    </row>
    <row r="102" spans="1:14" ht="15.75" thickBot="1" x14ac:dyDescent="0.25">
      <c r="A102" s="111">
        <v>94</v>
      </c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7" t="e">
        <f>3600*(L102*G102*J102)/(I102*M102)</f>
        <v>#DIV/0!</v>
      </c>
    </row>
    <row r="103" spans="1:14" ht="15.75" thickBot="1" x14ac:dyDescent="0.25">
      <c r="A103" s="111">
        <v>95</v>
      </c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7" t="e">
        <f>3600*(L103*G103*J103)/(I103*M103)</f>
        <v>#DIV/0!</v>
      </c>
    </row>
    <row r="104" spans="1:14" ht="15.75" thickBot="1" x14ac:dyDescent="0.25">
      <c r="A104" s="111">
        <v>96</v>
      </c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7" t="e">
        <f>3600*(L104*G104*J104)/(I104*M104)</f>
        <v>#DIV/0!</v>
      </c>
    </row>
    <row r="105" spans="1:14" ht="15.75" thickBot="1" x14ac:dyDescent="0.25">
      <c r="A105" s="111">
        <v>97</v>
      </c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7" t="e">
        <f>3600*(L105*G105*J105)/(I105*M105)</f>
        <v>#DIV/0!</v>
      </c>
    </row>
    <row r="106" spans="1:14" ht="15.75" thickBot="1" x14ac:dyDescent="0.25">
      <c r="A106" s="111">
        <v>98</v>
      </c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7" t="e">
        <f>3600*(L106*G106*J106)/(I106*M106)</f>
        <v>#DIV/0!</v>
      </c>
    </row>
    <row r="107" spans="1:14" ht="15.75" thickBot="1" x14ac:dyDescent="0.25">
      <c r="A107" s="111">
        <v>99</v>
      </c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7" t="e">
        <f>3600*(L107*G107*J107)/(I107*M107)</f>
        <v>#DIV/0!</v>
      </c>
    </row>
    <row r="108" spans="1:14" ht="15.75" thickBot="1" x14ac:dyDescent="0.25">
      <c r="A108" s="111">
        <v>100</v>
      </c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7" t="e">
        <f>3600*(L108*G108*J108)/(I108*M108)</f>
        <v>#DIV/0!</v>
      </c>
    </row>
    <row r="109" spans="1:14" ht="15.75" thickBot="1" x14ac:dyDescent="0.25">
      <c r="A109" s="108"/>
      <c r="B109" s="109" t="s">
        <v>37</v>
      </c>
      <c r="C109" s="109"/>
      <c r="D109" s="109"/>
      <c r="E109" s="109"/>
      <c r="F109" s="109"/>
      <c r="G109" s="110" t="e">
        <f>AVERAGE(G9:G108)</f>
        <v>#DIV/0!</v>
      </c>
      <c r="H109" s="110" t="e">
        <f t="shared" ref="H109:J109" si="0">AVERAGE(H9:H108)</f>
        <v>#DIV/0!</v>
      </c>
      <c r="I109" s="110" t="e">
        <f t="shared" si="0"/>
        <v>#DIV/0!</v>
      </c>
      <c r="J109" s="110" t="e">
        <f t="shared" si="0"/>
        <v>#DIV/0!</v>
      </c>
      <c r="K109" s="110"/>
      <c r="L109" s="110" t="e">
        <f t="shared" ref="L109:N109" si="1">AVERAGE(L9:L108)</f>
        <v>#DIV/0!</v>
      </c>
      <c r="M109" s="110" t="e">
        <f t="shared" si="1"/>
        <v>#DIV/0!</v>
      </c>
      <c r="N109" s="74" t="e">
        <f t="shared" si="1"/>
        <v>#DIV/0!</v>
      </c>
    </row>
  </sheetData>
  <mergeCells count="17">
    <mergeCell ref="M7:M8"/>
    <mergeCell ref="B109:F109"/>
    <mergeCell ref="N7:N8"/>
    <mergeCell ref="A1:N1"/>
    <mergeCell ref="A2:N2"/>
    <mergeCell ref="A3:M3"/>
    <mergeCell ref="G5:H5"/>
    <mergeCell ref="M5:N5"/>
    <mergeCell ref="A7:A8"/>
    <mergeCell ref="B7:B8"/>
    <mergeCell ref="C7:C8"/>
    <mergeCell ref="D7:D8"/>
    <mergeCell ref="E7:E8"/>
    <mergeCell ref="F7:F8"/>
    <mergeCell ref="G7:J7"/>
    <mergeCell ref="K7:K8"/>
    <mergeCell ref="L7:L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E864-5DDD-4C61-ADE3-2CF3BFF059AE}">
  <dimension ref="A1:K119"/>
  <sheetViews>
    <sheetView topLeftCell="A13" workbookViewId="0">
      <selection activeCell="I11" sqref="I11"/>
    </sheetView>
  </sheetViews>
  <sheetFormatPr defaultRowHeight="15" x14ac:dyDescent="0.25"/>
  <cols>
    <col min="1" max="1" width="12.28515625" customWidth="1"/>
    <col min="3" max="4" width="10" customWidth="1"/>
    <col min="5" max="5" width="13.7109375" customWidth="1"/>
    <col min="6" max="6" width="11.85546875" customWidth="1"/>
    <col min="7" max="7" width="10.85546875" customWidth="1"/>
    <col min="9" max="9" width="13.7109375" bestFit="1" customWidth="1"/>
    <col min="10" max="10" width="12.42578125" customWidth="1"/>
  </cols>
  <sheetData>
    <row r="1" spans="1:11" ht="18.75" x14ac:dyDescent="0.25">
      <c r="A1" s="88" t="s">
        <v>42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1" ht="18.75" x14ac:dyDescent="0.25">
      <c r="A2" s="88" t="s">
        <v>43</v>
      </c>
      <c r="B2" s="88"/>
      <c r="C2" s="88"/>
      <c r="D2" s="88"/>
      <c r="E2" s="88"/>
      <c r="F2" s="88"/>
      <c r="G2" s="88"/>
      <c r="H2" s="88"/>
      <c r="I2" s="88"/>
      <c r="J2" s="88"/>
      <c r="K2" s="88"/>
    </row>
    <row r="3" spans="1:11" ht="15.75" x14ac:dyDescent="0.25">
      <c r="A3" s="89" t="s">
        <v>44</v>
      </c>
      <c r="B3" s="89"/>
      <c r="C3" s="89"/>
      <c r="D3" s="89"/>
      <c r="E3" s="89"/>
      <c r="F3" s="89"/>
      <c r="G3" s="89"/>
      <c r="H3" s="89"/>
      <c r="I3" s="89"/>
      <c r="J3" s="89"/>
      <c r="K3" s="89"/>
    </row>
    <row r="4" spans="1:11" ht="15.75" x14ac:dyDescent="0.25">
      <c r="A4" s="89" t="s">
        <v>45</v>
      </c>
      <c r="B4" s="89"/>
      <c r="C4" s="89"/>
      <c r="D4" s="89"/>
      <c r="E4" s="89"/>
      <c r="F4" s="89"/>
      <c r="G4" s="89"/>
      <c r="H4" s="89"/>
      <c r="I4" s="89"/>
      <c r="J4" s="89"/>
      <c r="K4" s="89"/>
    </row>
    <row r="5" spans="1:11" ht="16.5" thickBot="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 ht="16.5" thickBot="1" x14ac:dyDescent="0.3">
      <c r="A6" s="26" t="s">
        <v>46</v>
      </c>
      <c r="B6" s="90"/>
      <c r="C6" s="91"/>
      <c r="D6" s="91"/>
      <c r="E6" s="91"/>
      <c r="F6" s="92"/>
      <c r="G6" s="8"/>
      <c r="H6" s="8"/>
      <c r="I6" s="28" t="s">
        <v>7</v>
      </c>
      <c r="J6" s="29"/>
      <c r="K6" s="8"/>
    </row>
    <row r="7" spans="1:11" ht="16.5" thickBot="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ht="16.5" thickBot="1" x14ac:dyDescent="0.3">
      <c r="A8" s="26" t="s">
        <v>47</v>
      </c>
      <c r="B8" s="93"/>
      <c r="C8" s="91"/>
      <c r="D8" s="91"/>
      <c r="E8" s="91"/>
      <c r="F8" s="92"/>
      <c r="G8" s="8"/>
      <c r="H8" s="8"/>
      <c r="I8" s="28" t="s">
        <v>48</v>
      </c>
      <c r="J8" s="27" t="s">
        <v>49</v>
      </c>
      <c r="K8" s="8"/>
    </row>
    <row r="9" spans="1:11" ht="16.5" thickBot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 ht="16.5" thickBot="1" x14ac:dyDescent="0.3">
      <c r="A10" s="86" t="s">
        <v>23</v>
      </c>
      <c r="B10" s="86" t="s">
        <v>24</v>
      </c>
      <c r="C10" s="86" t="s">
        <v>25</v>
      </c>
      <c r="D10" s="86" t="s">
        <v>26</v>
      </c>
      <c r="E10" s="86" t="s">
        <v>27</v>
      </c>
      <c r="F10" s="95" t="s">
        <v>28</v>
      </c>
      <c r="G10" s="96"/>
      <c r="H10" s="96"/>
      <c r="I10" s="96"/>
      <c r="J10" s="96"/>
      <c r="K10" s="97"/>
    </row>
    <row r="11" spans="1:11" ht="32.25" thickBot="1" x14ac:dyDescent="0.3">
      <c r="A11" s="87"/>
      <c r="B11" s="87"/>
      <c r="C11" s="87"/>
      <c r="D11" s="94"/>
      <c r="E11" s="87"/>
      <c r="F11" s="6" t="s">
        <v>29</v>
      </c>
      <c r="G11" s="6" t="s">
        <v>30</v>
      </c>
      <c r="H11" s="6" t="s">
        <v>31</v>
      </c>
      <c r="I11" s="6" t="s">
        <v>32</v>
      </c>
      <c r="J11" s="6" t="s">
        <v>33</v>
      </c>
      <c r="K11" s="6" t="s">
        <v>34</v>
      </c>
    </row>
    <row r="12" spans="1:11" ht="15.75" x14ac:dyDescent="0.25">
      <c r="A12" s="7">
        <v>1</v>
      </c>
      <c r="B12" s="8"/>
      <c r="C12" s="9">
        <f t="shared" ref="C12:C75" si="0">IF(D12=0,B12, "")</f>
        <v>0</v>
      </c>
      <c r="D12" s="10">
        <f t="shared" ref="D12:D75" si="1">SUM(E12:K12)</f>
        <v>0</v>
      </c>
      <c r="E12" s="11"/>
      <c r="F12" s="9"/>
      <c r="G12" s="9"/>
      <c r="H12" s="9"/>
      <c r="I12" s="9"/>
      <c r="J12" s="9"/>
      <c r="K12" s="9"/>
    </row>
    <row r="13" spans="1:11" ht="15.75" x14ac:dyDescent="0.25">
      <c r="A13" s="12">
        <v>2</v>
      </c>
      <c r="B13" s="8"/>
      <c r="C13" s="9">
        <f t="shared" si="0"/>
        <v>0</v>
      </c>
      <c r="D13" s="10">
        <f t="shared" si="1"/>
        <v>0</v>
      </c>
      <c r="E13" s="11"/>
      <c r="F13" s="9"/>
      <c r="G13" s="9"/>
      <c r="H13" s="9"/>
      <c r="I13" s="9"/>
      <c r="J13" s="9"/>
      <c r="K13" s="9"/>
    </row>
    <row r="14" spans="1:11" ht="15.75" x14ac:dyDescent="0.25">
      <c r="A14" s="12">
        <v>3</v>
      </c>
      <c r="B14" s="8"/>
      <c r="C14" s="9">
        <f t="shared" si="0"/>
        <v>0</v>
      </c>
      <c r="D14" s="10">
        <f t="shared" si="1"/>
        <v>0</v>
      </c>
      <c r="E14" s="11"/>
      <c r="F14" s="9"/>
      <c r="G14" s="9"/>
      <c r="H14" s="9"/>
      <c r="I14" s="9"/>
      <c r="J14" s="9"/>
      <c r="K14" s="9"/>
    </row>
    <row r="15" spans="1:11" ht="15.75" x14ac:dyDescent="0.25">
      <c r="A15" s="12">
        <v>4</v>
      </c>
      <c r="B15" s="8"/>
      <c r="C15" s="9">
        <f t="shared" si="0"/>
        <v>0</v>
      </c>
      <c r="D15" s="10">
        <f t="shared" si="1"/>
        <v>0</v>
      </c>
      <c r="E15" s="11"/>
      <c r="F15" s="9"/>
      <c r="G15" s="9"/>
      <c r="H15" s="9"/>
      <c r="I15" s="9"/>
      <c r="J15" s="9"/>
      <c r="K15" s="9"/>
    </row>
    <row r="16" spans="1:11" ht="15.75" x14ac:dyDescent="0.25">
      <c r="A16" s="12">
        <v>5</v>
      </c>
      <c r="B16" s="8"/>
      <c r="C16" s="9">
        <f t="shared" si="0"/>
        <v>0</v>
      </c>
      <c r="D16" s="10">
        <f t="shared" si="1"/>
        <v>0</v>
      </c>
      <c r="E16" s="11"/>
      <c r="F16" s="9"/>
      <c r="G16" s="9"/>
      <c r="H16" s="9"/>
      <c r="I16" s="9"/>
      <c r="J16" s="9"/>
      <c r="K16" s="9"/>
    </row>
    <row r="17" spans="1:11" ht="15.75" x14ac:dyDescent="0.25">
      <c r="A17" s="12">
        <v>6</v>
      </c>
      <c r="B17" s="8"/>
      <c r="C17" s="9">
        <f t="shared" si="0"/>
        <v>0</v>
      </c>
      <c r="D17" s="10">
        <f t="shared" si="1"/>
        <v>0</v>
      </c>
      <c r="E17" s="11"/>
      <c r="F17" s="9"/>
      <c r="G17" s="9"/>
      <c r="H17" s="9"/>
      <c r="I17" s="9"/>
      <c r="J17" s="9"/>
      <c r="K17" s="9"/>
    </row>
    <row r="18" spans="1:11" ht="15.75" x14ac:dyDescent="0.25">
      <c r="A18" s="12">
        <v>7</v>
      </c>
      <c r="B18" s="8"/>
      <c r="C18" s="9">
        <f t="shared" si="0"/>
        <v>0</v>
      </c>
      <c r="D18" s="10">
        <f t="shared" si="1"/>
        <v>0</v>
      </c>
      <c r="E18" s="11"/>
      <c r="F18" s="9"/>
      <c r="G18" s="9"/>
      <c r="H18" s="9"/>
      <c r="I18" s="9"/>
      <c r="J18" s="9"/>
      <c r="K18" s="9"/>
    </row>
    <row r="19" spans="1:11" ht="15.75" x14ac:dyDescent="0.25">
      <c r="A19" s="12">
        <v>8</v>
      </c>
      <c r="B19" s="8"/>
      <c r="C19" s="9">
        <f t="shared" si="0"/>
        <v>0</v>
      </c>
      <c r="D19" s="10">
        <f t="shared" si="1"/>
        <v>0</v>
      </c>
      <c r="E19" s="11"/>
      <c r="F19" s="9"/>
      <c r="G19" s="9"/>
      <c r="H19" s="9"/>
      <c r="I19" s="9"/>
      <c r="J19" s="9"/>
      <c r="K19" s="9"/>
    </row>
    <row r="20" spans="1:11" ht="15.75" x14ac:dyDescent="0.25">
      <c r="A20" s="12">
        <v>9</v>
      </c>
      <c r="B20" s="8"/>
      <c r="C20" s="9">
        <f t="shared" si="0"/>
        <v>0</v>
      </c>
      <c r="D20" s="10">
        <f t="shared" si="1"/>
        <v>0</v>
      </c>
      <c r="E20" s="11"/>
      <c r="F20" s="9"/>
      <c r="G20" s="9"/>
      <c r="H20" s="9"/>
      <c r="I20" s="9"/>
      <c r="J20" s="9"/>
      <c r="K20" s="9"/>
    </row>
    <row r="21" spans="1:11" ht="15.75" x14ac:dyDescent="0.25">
      <c r="A21" s="12">
        <v>10</v>
      </c>
      <c r="B21" s="8"/>
      <c r="C21" s="9">
        <f t="shared" si="0"/>
        <v>0</v>
      </c>
      <c r="D21" s="10">
        <f t="shared" si="1"/>
        <v>0</v>
      </c>
      <c r="E21" s="11"/>
      <c r="F21" s="9"/>
      <c r="G21" s="9"/>
      <c r="H21" s="9"/>
      <c r="I21" s="9"/>
      <c r="J21" s="9"/>
      <c r="K21" s="9"/>
    </row>
    <row r="22" spans="1:11" ht="15.75" x14ac:dyDescent="0.25">
      <c r="A22" s="12">
        <v>11</v>
      </c>
      <c r="B22" s="8"/>
      <c r="C22" s="9">
        <f t="shared" si="0"/>
        <v>0</v>
      </c>
      <c r="D22" s="10">
        <f t="shared" si="1"/>
        <v>0</v>
      </c>
      <c r="E22" s="11"/>
      <c r="F22" s="9"/>
      <c r="G22" s="9"/>
      <c r="H22" s="9"/>
      <c r="I22" s="9"/>
      <c r="J22" s="9"/>
      <c r="K22" s="9"/>
    </row>
    <row r="23" spans="1:11" ht="15.75" x14ac:dyDescent="0.25">
      <c r="A23" s="12">
        <v>12</v>
      </c>
      <c r="B23" s="8"/>
      <c r="C23" s="9">
        <f t="shared" si="0"/>
        <v>0</v>
      </c>
      <c r="D23" s="10">
        <f t="shared" si="1"/>
        <v>0</v>
      </c>
      <c r="E23" s="11"/>
      <c r="F23" s="9"/>
      <c r="G23" s="9"/>
      <c r="H23" s="9"/>
      <c r="I23" s="9"/>
      <c r="J23" s="9"/>
      <c r="K23" s="9"/>
    </row>
    <row r="24" spans="1:11" ht="15.75" x14ac:dyDescent="0.25">
      <c r="A24" s="12">
        <v>13</v>
      </c>
      <c r="B24" s="8"/>
      <c r="C24" s="9">
        <f t="shared" si="0"/>
        <v>0</v>
      </c>
      <c r="D24" s="10">
        <f t="shared" si="1"/>
        <v>0</v>
      </c>
      <c r="E24" s="11"/>
      <c r="F24" s="9"/>
      <c r="G24" s="9"/>
      <c r="H24" s="9"/>
      <c r="I24" s="9"/>
      <c r="J24" s="9"/>
      <c r="K24" s="9"/>
    </row>
    <row r="25" spans="1:11" ht="15.75" x14ac:dyDescent="0.25">
      <c r="A25" s="12">
        <v>14</v>
      </c>
      <c r="B25" s="8"/>
      <c r="C25" s="9">
        <f t="shared" si="0"/>
        <v>0</v>
      </c>
      <c r="D25" s="10">
        <f t="shared" si="1"/>
        <v>0</v>
      </c>
      <c r="E25" s="11"/>
      <c r="F25" s="9"/>
      <c r="G25" s="9"/>
      <c r="H25" s="9"/>
      <c r="I25" s="9"/>
      <c r="J25" s="9"/>
      <c r="K25" s="9"/>
    </row>
    <row r="26" spans="1:11" ht="15.75" x14ac:dyDescent="0.25">
      <c r="A26" s="12">
        <v>15</v>
      </c>
      <c r="B26" s="8"/>
      <c r="C26" s="9">
        <f t="shared" si="0"/>
        <v>0</v>
      </c>
      <c r="D26" s="10">
        <f t="shared" si="1"/>
        <v>0</v>
      </c>
      <c r="E26" s="11"/>
      <c r="F26" s="9"/>
      <c r="G26" s="9"/>
      <c r="H26" s="9"/>
      <c r="I26" s="9"/>
      <c r="J26" s="9"/>
      <c r="K26" s="9"/>
    </row>
    <row r="27" spans="1:11" ht="15.75" x14ac:dyDescent="0.25">
      <c r="A27" s="12">
        <v>16</v>
      </c>
      <c r="B27" s="8"/>
      <c r="C27" s="9">
        <f t="shared" si="0"/>
        <v>0</v>
      </c>
      <c r="D27" s="10">
        <f t="shared" si="1"/>
        <v>0</v>
      </c>
      <c r="E27" s="11"/>
      <c r="F27" s="9"/>
      <c r="G27" s="9"/>
      <c r="H27" s="9"/>
      <c r="I27" s="9"/>
      <c r="J27" s="9"/>
      <c r="K27" s="9"/>
    </row>
    <row r="28" spans="1:11" ht="15.75" x14ac:dyDescent="0.25">
      <c r="A28" s="12">
        <v>17</v>
      </c>
      <c r="B28" s="8"/>
      <c r="C28" s="9">
        <f t="shared" si="0"/>
        <v>0</v>
      </c>
      <c r="D28" s="10">
        <f t="shared" si="1"/>
        <v>0</v>
      </c>
      <c r="E28" s="11"/>
      <c r="F28" s="9"/>
      <c r="G28" s="9"/>
      <c r="H28" s="9"/>
      <c r="I28" s="9"/>
      <c r="J28" s="9"/>
      <c r="K28" s="9"/>
    </row>
    <row r="29" spans="1:11" ht="15.75" x14ac:dyDescent="0.25">
      <c r="A29" s="12">
        <v>18</v>
      </c>
      <c r="B29" s="8"/>
      <c r="C29" s="9">
        <f t="shared" si="0"/>
        <v>0</v>
      </c>
      <c r="D29" s="10">
        <f t="shared" si="1"/>
        <v>0</v>
      </c>
      <c r="E29" s="11"/>
      <c r="F29" s="9"/>
      <c r="G29" s="9"/>
      <c r="H29" s="9"/>
      <c r="I29" s="9"/>
      <c r="J29" s="9"/>
      <c r="K29" s="9"/>
    </row>
    <row r="30" spans="1:11" ht="16.5" thickBot="1" x14ac:dyDescent="0.3">
      <c r="A30" s="12">
        <v>19</v>
      </c>
      <c r="B30" s="8"/>
      <c r="C30" s="9">
        <f t="shared" si="0"/>
        <v>0</v>
      </c>
      <c r="D30" s="10">
        <f t="shared" si="1"/>
        <v>0</v>
      </c>
      <c r="E30" s="11"/>
      <c r="F30" s="9"/>
      <c r="G30" s="9"/>
      <c r="H30" s="9"/>
      <c r="I30" s="9"/>
      <c r="J30" s="9"/>
      <c r="K30" s="9"/>
    </row>
    <row r="31" spans="1:11" ht="15.75" x14ac:dyDescent="0.25">
      <c r="A31" s="7">
        <v>20</v>
      </c>
      <c r="B31" s="8"/>
      <c r="C31" s="9">
        <f t="shared" si="0"/>
        <v>0</v>
      </c>
      <c r="D31" s="10">
        <f t="shared" si="1"/>
        <v>0</v>
      </c>
      <c r="E31" s="11"/>
      <c r="F31" s="9"/>
      <c r="G31" s="9"/>
      <c r="H31" s="9"/>
      <c r="I31" s="9"/>
      <c r="J31" s="9"/>
      <c r="K31" s="9"/>
    </row>
    <row r="32" spans="1:11" ht="15.75" x14ac:dyDescent="0.25">
      <c r="A32" s="12">
        <v>21</v>
      </c>
      <c r="B32" s="8"/>
      <c r="C32" s="9">
        <f t="shared" si="0"/>
        <v>0</v>
      </c>
      <c r="D32" s="10">
        <f t="shared" si="1"/>
        <v>0</v>
      </c>
      <c r="E32" s="11"/>
      <c r="F32" s="9"/>
      <c r="G32" s="9"/>
      <c r="H32" s="9"/>
      <c r="I32" s="9"/>
      <c r="J32" s="9"/>
      <c r="K32" s="9"/>
    </row>
    <row r="33" spans="1:11" ht="15.75" x14ac:dyDescent="0.25">
      <c r="A33" s="12">
        <v>22</v>
      </c>
      <c r="B33" s="8"/>
      <c r="C33" s="9">
        <f t="shared" si="0"/>
        <v>0</v>
      </c>
      <c r="D33" s="10">
        <f t="shared" si="1"/>
        <v>0</v>
      </c>
      <c r="E33" s="11"/>
      <c r="F33" s="9"/>
      <c r="G33" s="9"/>
      <c r="H33" s="9"/>
      <c r="I33" s="9"/>
      <c r="J33" s="9"/>
      <c r="K33" s="9"/>
    </row>
    <row r="34" spans="1:11" ht="15.75" x14ac:dyDescent="0.25">
      <c r="A34" s="12">
        <v>23</v>
      </c>
      <c r="B34" s="8"/>
      <c r="C34" s="9">
        <f t="shared" si="0"/>
        <v>0</v>
      </c>
      <c r="D34" s="10">
        <f t="shared" si="1"/>
        <v>0</v>
      </c>
      <c r="E34" s="11"/>
      <c r="F34" s="9"/>
      <c r="G34" s="9"/>
      <c r="H34" s="9"/>
      <c r="I34" s="9"/>
      <c r="J34" s="9"/>
      <c r="K34" s="9"/>
    </row>
    <row r="35" spans="1:11" ht="15.75" x14ac:dyDescent="0.25">
      <c r="A35" s="12">
        <v>24</v>
      </c>
      <c r="B35" s="8"/>
      <c r="C35" s="9">
        <f t="shared" si="0"/>
        <v>0</v>
      </c>
      <c r="D35" s="10">
        <f t="shared" si="1"/>
        <v>0</v>
      </c>
      <c r="E35" s="11"/>
      <c r="F35" s="9"/>
      <c r="G35" s="9"/>
      <c r="H35" s="9"/>
      <c r="I35" s="9"/>
      <c r="J35" s="9"/>
      <c r="K35" s="9"/>
    </row>
    <row r="36" spans="1:11" ht="15.75" x14ac:dyDescent="0.25">
      <c r="A36" s="12">
        <v>25</v>
      </c>
      <c r="B36" s="8"/>
      <c r="C36" s="9">
        <f t="shared" si="0"/>
        <v>0</v>
      </c>
      <c r="D36" s="10">
        <f t="shared" si="1"/>
        <v>0</v>
      </c>
      <c r="E36" s="11"/>
      <c r="F36" s="9"/>
      <c r="G36" s="9"/>
      <c r="H36" s="9"/>
      <c r="I36" s="9"/>
      <c r="J36" s="9"/>
      <c r="K36" s="9"/>
    </row>
    <row r="37" spans="1:11" ht="15.75" x14ac:dyDescent="0.25">
      <c r="A37" s="12">
        <v>26</v>
      </c>
      <c r="B37" s="8"/>
      <c r="C37" s="9">
        <f t="shared" si="0"/>
        <v>0</v>
      </c>
      <c r="D37" s="10">
        <f t="shared" si="1"/>
        <v>0</v>
      </c>
      <c r="E37" s="11"/>
      <c r="F37" s="9"/>
      <c r="G37" s="9"/>
      <c r="H37" s="9"/>
      <c r="I37" s="9"/>
      <c r="J37" s="9"/>
      <c r="K37" s="9"/>
    </row>
    <row r="38" spans="1:11" ht="15.75" x14ac:dyDescent="0.25">
      <c r="A38" s="12">
        <v>27</v>
      </c>
      <c r="B38" s="8"/>
      <c r="C38" s="9">
        <f t="shared" si="0"/>
        <v>0</v>
      </c>
      <c r="D38" s="10">
        <f t="shared" si="1"/>
        <v>0</v>
      </c>
      <c r="E38" s="11"/>
      <c r="F38" s="9"/>
      <c r="G38" s="9"/>
      <c r="H38" s="9"/>
      <c r="I38" s="9"/>
      <c r="J38" s="9"/>
      <c r="K38" s="9"/>
    </row>
    <row r="39" spans="1:11" ht="15.75" x14ac:dyDescent="0.25">
      <c r="A39" s="12">
        <v>28</v>
      </c>
      <c r="B39" s="8"/>
      <c r="C39" s="9">
        <f t="shared" si="0"/>
        <v>0</v>
      </c>
      <c r="D39" s="10">
        <f t="shared" si="1"/>
        <v>0</v>
      </c>
      <c r="E39" s="11"/>
      <c r="F39" s="9"/>
      <c r="G39" s="9"/>
      <c r="H39" s="9"/>
      <c r="I39" s="9"/>
      <c r="J39" s="9"/>
      <c r="K39" s="9"/>
    </row>
    <row r="40" spans="1:11" ht="15.75" x14ac:dyDescent="0.25">
      <c r="A40" s="12">
        <v>29</v>
      </c>
      <c r="B40" s="8"/>
      <c r="C40" s="9">
        <f t="shared" si="0"/>
        <v>0</v>
      </c>
      <c r="D40" s="10">
        <f t="shared" si="1"/>
        <v>0</v>
      </c>
      <c r="E40" s="11"/>
      <c r="F40" s="9"/>
      <c r="G40" s="9"/>
      <c r="H40" s="9"/>
      <c r="I40" s="9"/>
      <c r="J40" s="9"/>
      <c r="K40" s="9"/>
    </row>
    <row r="41" spans="1:11" ht="15.75" x14ac:dyDescent="0.25">
      <c r="A41" s="12">
        <v>30</v>
      </c>
      <c r="B41" s="8"/>
      <c r="C41" s="9">
        <f t="shared" si="0"/>
        <v>0</v>
      </c>
      <c r="D41" s="10">
        <f t="shared" si="1"/>
        <v>0</v>
      </c>
      <c r="E41" s="11"/>
      <c r="F41" s="9"/>
      <c r="G41" s="9"/>
      <c r="H41" s="9"/>
      <c r="I41" s="9"/>
      <c r="J41" s="9"/>
      <c r="K41" s="9"/>
    </row>
    <row r="42" spans="1:11" ht="15.75" x14ac:dyDescent="0.25">
      <c r="A42" s="12">
        <v>31</v>
      </c>
      <c r="B42" s="8"/>
      <c r="C42" s="9">
        <f t="shared" si="0"/>
        <v>0</v>
      </c>
      <c r="D42" s="10">
        <f t="shared" si="1"/>
        <v>0</v>
      </c>
      <c r="E42" s="11"/>
      <c r="F42" s="9"/>
      <c r="G42" s="9"/>
      <c r="H42" s="9"/>
      <c r="I42" s="9"/>
      <c r="J42" s="9"/>
      <c r="K42" s="9"/>
    </row>
    <row r="43" spans="1:11" ht="15.75" x14ac:dyDescent="0.25">
      <c r="A43" s="12">
        <v>32</v>
      </c>
      <c r="B43" s="8"/>
      <c r="C43" s="9">
        <f t="shared" si="0"/>
        <v>0</v>
      </c>
      <c r="D43" s="10">
        <f t="shared" si="1"/>
        <v>0</v>
      </c>
      <c r="E43" s="11"/>
      <c r="F43" s="9"/>
      <c r="G43" s="9"/>
      <c r="H43" s="9"/>
      <c r="I43" s="9"/>
      <c r="J43" s="9"/>
      <c r="K43" s="9"/>
    </row>
    <row r="44" spans="1:11" ht="15.75" x14ac:dyDescent="0.25">
      <c r="A44" s="12">
        <v>33</v>
      </c>
      <c r="B44" s="8"/>
      <c r="C44" s="9">
        <f t="shared" si="0"/>
        <v>0</v>
      </c>
      <c r="D44" s="10">
        <f t="shared" si="1"/>
        <v>0</v>
      </c>
      <c r="E44" s="11"/>
      <c r="F44" s="9"/>
      <c r="G44" s="9"/>
      <c r="H44" s="9"/>
      <c r="I44" s="9"/>
      <c r="J44" s="9"/>
      <c r="K44" s="9"/>
    </row>
    <row r="45" spans="1:11" ht="15.75" x14ac:dyDescent="0.25">
      <c r="A45" s="12">
        <v>34</v>
      </c>
      <c r="B45" s="8"/>
      <c r="C45" s="9">
        <f t="shared" si="0"/>
        <v>0</v>
      </c>
      <c r="D45" s="10">
        <f t="shared" si="1"/>
        <v>0</v>
      </c>
      <c r="E45" s="11"/>
      <c r="F45" s="9"/>
      <c r="G45" s="9"/>
      <c r="H45" s="9"/>
      <c r="I45" s="9"/>
      <c r="J45" s="9"/>
      <c r="K45" s="9"/>
    </row>
    <row r="46" spans="1:11" ht="15.75" x14ac:dyDescent="0.25">
      <c r="A46" s="12">
        <v>35</v>
      </c>
      <c r="B46" s="8"/>
      <c r="C46" s="9">
        <f t="shared" si="0"/>
        <v>0</v>
      </c>
      <c r="D46" s="10">
        <f t="shared" si="1"/>
        <v>0</v>
      </c>
      <c r="E46" s="11"/>
      <c r="F46" s="9"/>
      <c r="G46" s="9"/>
      <c r="H46" s="9"/>
      <c r="I46" s="9"/>
      <c r="J46" s="9"/>
      <c r="K46" s="9"/>
    </row>
    <row r="47" spans="1:11" ht="15.75" x14ac:dyDescent="0.25">
      <c r="A47" s="12">
        <v>36</v>
      </c>
      <c r="B47" s="8"/>
      <c r="C47" s="9">
        <f t="shared" si="0"/>
        <v>0</v>
      </c>
      <c r="D47" s="10">
        <f t="shared" si="1"/>
        <v>0</v>
      </c>
      <c r="E47" s="11"/>
      <c r="F47" s="9"/>
      <c r="G47" s="9"/>
      <c r="H47" s="9"/>
      <c r="I47" s="9"/>
      <c r="J47" s="9"/>
      <c r="K47" s="9"/>
    </row>
    <row r="48" spans="1:11" ht="15.75" x14ac:dyDescent="0.25">
      <c r="A48" s="12">
        <v>37</v>
      </c>
      <c r="B48" s="8"/>
      <c r="C48" s="9">
        <f t="shared" si="0"/>
        <v>0</v>
      </c>
      <c r="D48" s="10">
        <f t="shared" si="1"/>
        <v>0</v>
      </c>
      <c r="E48" s="11"/>
      <c r="F48" s="9"/>
      <c r="G48" s="9"/>
      <c r="H48" s="9"/>
      <c r="I48" s="9"/>
      <c r="J48" s="9"/>
      <c r="K48" s="9"/>
    </row>
    <row r="49" spans="1:11" ht="16.5" thickBot="1" x14ac:dyDescent="0.3">
      <c r="A49" s="12">
        <v>38</v>
      </c>
      <c r="B49" s="8"/>
      <c r="C49" s="9">
        <f t="shared" si="0"/>
        <v>0</v>
      </c>
      <c r="D49" s="10">
        <f t="shared" si="1"/>
        <v>0</v>
      </c>
      <c r="E49" s="11"/>
      <c r="F49" s="9"/>
      <c r="G49" s="9"/>
      <c r="H49" s="9"/>
      <c r="I49" s="9"/>
      <c r="J49" s="9"/>
      <c r="K49" s="9"/>
    </row>
    <row r="50" spans="1:11" ht="15.75" x14ac:dyDescent="0.25">
      <c r="A50" s="7">
        <v>39</v>
      </c>
      <c r="B50" s="8"/>
      <c r="C50" s="9">
        <f t="shared" si="0"/>
        <v>0</v>
      </c>
      <c r="D50" s="10">
        <f t="shared" si="1"/>
        <v>0</v>
      </c>
      <c r="E50" s="11"/>
      <c r="F50" s="9"/>
      <c r="G50" s="9"/>
      <c r="H50" s="9"/>
      <c r="I50" s="9"/>
      <c r="J50" s="9"/>
      <c r="K50" s="9"/>
    </row>
    <row r="51" spans="1:11" ht="15.75" x14ac:dyDescent="0.25">
      <c r="A51" s="12">
        <v>40</v>
      </c>
      <c r="B51" s="8"/>
      <c r="C51" s="9">
        <f t="shared" si="0"/>
        <v>0</v>
      </c>
      <c r="D51" s="10">
        <f t="shared" si="1"/>
        <v>0</v>
      </c>
      <c r="E51" s="11"/>
      <c r="F51" s="9"/>
      <c r="G51" s="9"/>
      <c r="H51" s="9"/>
      <c r="I51" s="9"/>
      <c r="J51" s="9"/>
      <c r="K51" s="9"/>
    </row>
    <row r="52" spans="1:11" ht="15.75" x14ac:dyDescent="0.25">
      <c r="A52" s="12">
        <v>41</v>
      </c>
      <c r="B52" s="8"/>
      <c r="C52" s="9">
        <f t="shared" si="0"/>
        <v>0</v>
      </c>
      <c r="D52" s="10">
        <f t="shared" si="1"/>
        <v>0</v>
      </c>
      <c r="E52" s="11"/>
      <c r="F52" s="9"/>
      <c r="G52" s="9"/>
      <c r="H52" s="9"/>
      <c r="I52" s="9"/>
      <c r="J52" s="9"/>
      <c r="K52" s="9"/>
    </row>
    <row r="53" spans="1:11" ht="15.75" x14ac:dyDescent="0.25">
      <c r="A53" s="12">
        <v>42</v>
      </c>
      <c r="B53" s="8"/>
      <c r="C53" s="9">
        <f t="shared" si="0"/>
        <v>0</v>
      </c>
      <c r="D53" s="10">
        <f t="shared" si="1"/>
        <v>0</v>
      </c>
      <c r="E53" s="11"/>
      <c r="F53" s="9"/>
      <c r="G53" s="9"/>
      <c r="H53" s="9"/>
      <c r="I53" s="9"/>
      <c r="J53" s="9"/>
      <c r="K53" s="9"/>
    </row>
    <row r="54" spans="1:11" ht="15.75" x14ac:dyDescent="0.25">
      <c r="A54" s="12">
        <v>43</v>
      </c>
      <c r="B54" s="8"/>
      <c r="C54" s="9">
        <f t="shared" si="0"/>
        <v>0</v>
      </c>
      <c r="D54" s="10">
        <f t="shared" si="1"/>
        <v>0</v>
      </c>
      <c r="E54" s="11"/>
      <c r="F54" s="9"/>
      <c r="G54" s="9"/>
      <c r="H54" s="9"/>
      <c r="I54" s="9"/>
      <c r="J54" s="9"/>
      <c r="K54" s="9"/>
    </row>
    <row r="55" spans="1:11" ht="15.75" x14ac:dyDescent="0.25">
      <c r="A55" s="12">
        <v>44</v>
      </c>
      <c r="B55" s="8"/>
      <c r="C55" s="9">
        <f t="shared" si="0"/>
        <v>0</v>
      </c>
      <c r="D55" s="10">
        <f t="shared" si="1"/>
        <v>0</v>
      </c>
      <c r="E55" s="11"/>
      <c r="F55" s="9"/>
      <c r="G55" s="9"/>
      <c r="H55" s="9"/>
      <c r="I55" s="9"/>
      <c r="J55" s="9"/>
      <c r="K55" s="9"/>
    </row>
    <row r="56" spans="1:11" ht="15.75" x14ac:dyDescent="0.25">
      <c r="A56" s="12">
        <v>45</v>
      </c>
      <c r="B56" s="8"/>
      <c r="C56" s="9">
        <f t="shared" si="0"/>
        <v>0</v>
      </c>
      <c r="D56" s="10">
        <f t="shared" si="1"/>
        <v>0</v>
      </c>
      <c r="E56" s="11"/>
      <c r="F56" s="9"/>
      <c r="G56" s="9"/>
      <c r="H56" s="9"/>
      <c r="I56" s="9"/>
      <c r="J56" s="9"/>
      <c r="K56" s="9"/>
    </row>
    <row r="57" spans="1:11" ht="15.75" x14ac:dyDescent="0.25">
      <c r="A57" s="12">
        <v>46</v>
      </c>
      <c r="B57" s="8"/>
      <c r="C57" s="9">
        <f t="shared" si="0"/>
        <v>0</v>
      </c>
      <c r="D57" s="10">
        <f t="shared" si="1"/>
        <v>0</v>
      </c>
      <c r="E57" s="11"/>
      <c r="F57" s="9"/>
      <c r="G57" s="9"/>
      <c r="H57" s="9"/>
      <c r="I57" s="9"/>
      <c r="J57" s="9"/>
      <c r="K57" s="9"/>
    </row>
    <row r="58" spans="1:11" ht="15.75" x14ac:dyDescent="0.25">
      <c r="A58" s="12">
        <v>47</v>
      </c>
      <c r="B58" s="8"/>
      <c r="C58" s="9">
        <f t="shared" si="0"/>
        <v>0</v>
      </c>
      <c r="D58" s="10">
        <f t="shared" si="1"/>
        <v>0</v>
      </c>
      <c r="E58" s="11"/>
      <c r="F58" s="9"/>
      <c r="G58" s="9"/>
      <c r="H58" s="9"/>
      <c r="I58" s="9"/>
      <c r="J58" s="9"/>
      <c r="K58" s="9"/>
    </row>
    <row r="59" spans="1:11" ht="15.75" x14ac:dyDescent="0.25">
      <c r="A59" s="12">
        <v>48</v>
      </c>
      <c r="B59" s="8"/>
      <c r="C59" s="9">
        <f t="shared" si="0"/>
        <v>0</v>
      </c>
      <c r="D59" s="10">
        <f t="shared" si="1"/>
        <v>0</v>
      </c>
      <c r="E59" s="11"/>
      <c r="F59" s="9"/>
      <c r="G59" s="9"/>
      <c r="H59" s="9"/>
      <c r="I59" s="9"/>
      <c r="J59" s="9"/>
      <c r="K59" s="9"/>
    </row>
    <row r="60" spans="1:11" ht="15.75" x14ac:dyDescent="0.25">
      <c r="A60" s="12">
        <v>49</v>
      </c>
      <c r="B60" s="8"/>
      <c r="C60" s="9">
        <f t="shared" si="0"/>
        <v>0</v>
      </c>
      <c r="D60" s="10">
        <f t="shared" si="1"/>
        <v>0</v>
      </c>
      <c r="E60" s="11"/>
      <c r="F60" s="9"/>
      <c r="G60" s="9"/>
      <c r="H60" s="9"/>
      <c r="I60" s="9"/>
      <c r="J60" s="9"/>
      <c r="K60" s="9"/>
    </row>
    <row r="61" spans="1:11" ht="15.75" x14ac:dyDescent="0.25">
      <c r="A61" s="12">
        <v>50</v>
      </c>
      <c r="B61" s="8"/>
      <c r="C61" s="9">
        <f t="shared" si="0"/>
        <v>0</v>
      </c>
      <c r="D61" s="10">
        <f t="shared" si="1"/>
        <v>0</v>
      </c>
      <c r="E61" s="11"/>
      <c r="F61" s="9"/>
      <c r="G61" s="9"/>
      <c r="H61" s="9"/>
      <c r="I61" s="9"/>
      <c r="J61" s="9"/>
      <c r="K61" s="9"/>
    </row>
    <row r="62" spans="1:11" ht="15.75" x14ac:dyDescent="0.25">
      <c r="A62" s="12">
        <v>51</v>
      </c>
      <c r="B62" s="8"/>
      <c r="C62" s="9">
        <f t="shared" si="0"/>
        <v>0</v>
      </c>
      <c r="D62" s="10">
        <f t="shared" si="1"/>
        <v>0</v>
      </c>
      <c r="E62" s="11"/>
      <c r="F62" s="9"/>
      <c r="G62" s="9"/>
      <c r="H62" s="9"/>
      <c r="I62" s="9"/>
      <c r="J62" s="9"/>
      <c r="K62" s="9"/>
    </row>
    <row r="63" spans="1:11" ht="15.75" x14ac:dyDescent="0.25">
      <c r="A63" s="12">
        <v>52</v>
      </c>
      <c r="B63" s="8"/>
      <c r="C63" s="9">
        <f t="shared" si="0"/>
        <v>0</v>
      </c>
      <c r="D63" s="10">
        <f t="shared" si="1"/>
        <v>0</v>
      </c>
      <c r="E63" s="11"/>
      <c r="F63" s="9"/>
      <c r="G63" s="9"/>
      <c r="H63" s="9"/>
      <c r="I63" s="9"/>
      <c r="J63" s="9"/>
      <c r="K63" s="9"/>
    </row>
    <row r="64" spans="1:11" ht="15.75" x14ac:dyDescent="0.25">
      <c r="A64" s="12">
        <v>53</v>
      </c>
      <c r="B64" s="8"/>
      <c r="C64" s="9">
        <f t="shared" si="0"/>
        <v>0</v>
      </c>
      <c r="D64" s="10">
        <f t="shared" si="1"/>
        <v>0</v>
      </c>
      <c r="E64" s="11"/>
      <c r="F64" s="9"/>
      <c r="G64" s="9"/>
      <c r="H64" s="9"/>
      <c r="I64" s="9"/>
      <c r="J64" s="9"/>
      <c r="K64" s="9"/>
    </row>
    <row r="65" spans="1:11" ht="15.75" x14ac:dyDescent="0.25">
      <c r="A65" s="12">
        <v>54</v>
      </c>
      <c r="B65" s="8"/>
      <c r="C65" s="9">
        <f t="shared" si="0"/>
        <v>0</v>
      </c>
      <c r="D65" s="10">
        <f t="shared" si="1"/>
        <v>0</v>
      </c>
      <c r="E65" s="11"/>
      <c r="F65" s="9"/>
      <c r="G65" s="9"/>
      <c r="H65" s="9"/>
      <c r="I65" s="9"/>
      <c r="J65" s="9"/>
      <c r="K65" s="9"/>
    </row>
    <row r="66" spans="1:11" ht="15.75" x14ac:dyDescent="0.25">
      <c r="A66" s="12">
        <v>55</v>
      </c>
      <c r="B66" s="8"/>
      <c r="C66" s="9">
        <f t="shared" si="0"/>
        <v>0</v>
      </c>
      <c r="D66" s="10">
        <f t="shared" si="1"/>
        <v>0</v>
      </c>
      <c r="E66" s="11"/>
      <c r="F66" s="9"/>
      <c r="G66" s="9"/>
      <c r="H66" s="9"/>
      <c r="I66" s="9"/>
      <c r="J66" s="9"/>
      <c r="K66" s="9"/>
    </row>
    <row r="67" spans="1:11" ht="15.75" x14ac:dyDescent="0.25">
      <c r="A67" s="12">
        <v>56</v>
      </c>
      <c r="B67" s="8"/>
      <c r="C67" s="9">
        <f t="shared" si="0"/>
        <v>0</v>
      </c>
      <c r="D67" s="10">
        <f t="shared" si="1"/>
        <v>0</v>
      </c>
      <c r="E67" s="11"/>
      <c r="F67" s="9"/>
      <c r="G67" s="9"/>
      <c r="H67" s="9"/>
      <c r="I67" s="9"/>
      <c r="J67" s="9"/>
      <c r="K67" s="9"/>
    </row>
    <row r="68" spans="1:11" ht="16.5" thickBot="1" x14ac:dyDescent="0.3">
      <c r="A68" s="12">
        <v>57</v>
      </c>
      <c r="B68" s="8"/>
      <c r="C68" s="9">
        <f t="shared" si="0"/>
        <v>0</v>
      </c>
      <c r="D68" s="10">
        <f t="shared" si="1"/>
        <v>0</v>
      </c>
      <c r="E68" s="11"/>
      <c r="F68" s="9"/>
      <c r="G68" s="9"/>
      <c r="H68" s="9"/>
      <c r="I68" s="9"/>
      <c r="J68" s="9"/>
      <c r="K68" s="9"/>
    </row>
    <row r="69" spans="1:11" ht="15.75" x14ac:dyDescent="0.25">
      <c r="A69" s="7">
        <v>58</v>
      </c>
      <c r="B69" s="8"/>
      <c r="C69" s="9">
        <f t="shared" si="0"/>
        <v>0</v>
      </c>
      <c r="D69" s="10">
        <f t="shared" si="1"/>
        <v>0</v>
      </c>
      <c r="E69" s="11"/>
      <c r="F69" s="9"/>
      <c r="G69" s="9"/>
      <c r="H69" s="9"/>
      <c r="I69" s="9"/>
      <c r="J69" s="9"/>
      <c r="K69" s="9"/>
    </row>
    <row r="70" spans="1:11" ht="15.75" x14ac:dyDescent="0.25">
      <c r="A70" s="12">
        <v>59</v>
      </c>
      <c r="B70" s="8"/>
      <c r="C70" s="9">
        <f t="shared" si="0"/>
        <v>0</v>
      </c>
      <c r="D70" s="10">
        <f t="shared" si="1"/>
        <v>0</v>
      </c>
      <c r="E70" s="11"/>
      <c r="F70" s="9"/>
      <c r="G70" s="9"/>
      <c r="H70" s="9"/>
      <c r="I70" s="9"/>
      <c r="J70" s="9"/>
      <c r="K70" s="9"/>
    </row>
    <row r="71" spans="1:11" ht="15.75" x14ac:dyDescent="0.25">
      <c r="A71" s="12">
        <v>60</v>
      </c>
      <c r="B71" s="8"/>
      <c r="C71" s="9">
        <f t="shared" si="0"/>
        <v>0</v>
      </c>
      <c r="D71" s="10">
        <f t="shared" si="1"/>
        <v>0</v>
      </c>
      <c r="E71" s="11"/>
      <c r="F71" s="9"/>
      <c r="G71" s="9"/>
      <c r="H71" s="9"/>
      <c r="I71" s="9"/>
      <c r="J71" s="9"/>
      <c r="K71" s="9"/>
    </row>
    <row r="72" spans="1:11" ht="15.75" x14ac:dyDescent="0.25">
      <c r="A72" s="12">
        <v>61</v>
      </c>
      <c r="B72" s="8"/>
      <c r="C72" s="9">
        <f t="shared" si="0"/>
        <v>0</v>
      </c>
      <c r="D72" s="10">
        <f t="shared" si="1"/>
        <v>0</v>
      </c>
      <c r="E72" s="11"/>
      <c r="F72" s="9"/>
      <c r="G72" s="9"/>
      <c r="H72" s="9"/>
      <c r="I72" s="9"/>
      <c r="J72" s="9"/>
      <c r="K72" s="9"/>
    </row>
    <row r="73" spans="1:11" ht="15.75" x14ac:dyDescent="0.25">
      <c r="A73" s="12">
        <v>62</v>
      </c>
      <c r="B73" s="8"/>
      <c r="C73" s="9">
        <f t="shared" si="0"/>
        <v>0</v>
      </c>
      <c r="D73" s="10">
        <f t="shared" si="1"/>
        <v>0</v>
      </c>
      <c r="E73" s="11"/>
      <c r="F73" s="9"/>
      <c r="G73" s="9"/>
      <c r="H73" s="9"/>
      <c r="I73" s="9"/>
      <c r="J73" s="9"/>
      <c r="K73" s="9"/>
    </row>
    <row r="74" spans="1:11" ht="15.75" x14ac:dyDescent="0.25">
      <c r="A74" s="12">
        <v>63</v>
      </c>
      <c r="B74" s="8"/>
      <c r="C74" s="9">
        <f t="shared" si="0"/>
        <v>0</v>
      </c>
      <c r="D74" s="10">
        <f t="shared" si="1"/>
        <v>0</v>
      </c>
      <c r="E74" s="11"/>
      <c r="F74" s="9"/>
      <c r="G74" s="9"/>
      <c r="H74" s="9"/>
      <c r="I74" s="9"/>
      <c r="J74" s="9"/>
      <c r="K74" s="9"/>
    </row>
    <row r="75" spans="1:11" ht="15.75" x14ac:dyDescent="0.25">
      <c r="A75" s="12">
        <v>64</v>
      </c>
      <c r="B75" s="8"/>
      <c r="C75" s="9">
        <f t="shared" si="0"/>
        <v>0</v>
      </c>
      <c r="D75" s="10">
        <f t="shared" si="1"/>
        <v>0</v>
      </c>
      <c r="E75" s="11"/>
      <c r="F75" s="9"/>
      <c r="G75" s="9"/>
      <c r="H75" s="9"/>
      <c r="I75" s="9"/>
      <c r="J75" s="9"/>
      <c r="K75" s="9"/>
    </row>
    <row r="76" spans="1:11" ht="15.75" x14ac:dyDescent="0.25">
      <c r="A76" s="12">
        <v>65</v>
      </c>
      <c r="B76" s="8"/>
      <c r="C76" s="9">
        <f t="shared" ref="C76:C111" si="2">IF(D76=0,B76, "")</f>
        <v>0</v>
      </c>
      <c r="D76" s="10">
        <f t="shared" ref="D76:D111" si="3">SUM(E76:K76)</f>
        <v>0</v>
      </c>
      <c r="E76" s="11"/>
      <c r="F76" s="9"/>
      <c r="G76" s="9"/>
      <c r="H76" s="9"/>
      <c r="I76" s="9"/>
      <c r="J76" s="9"/>
      <c r="K76" s="9"/>
    </row>
    <row r="77" spans="1:11" ht="15.75" x14ac:dyDescent="0.25">
      <c r="A77" s="12">
        <v>66</v>
      </c>
      <c r="B77" s="8"/>
      <c r="C77" s="9">
        <f t="shared" si="2"/>
        <v>0</v>
      </c>
      <c r="D77" s="10">
        <f t="shared" si="3"/>
        <v>0</v>
      </c>
      <c r="E77" s="11"/>
      <c r="F77" s="9"/>
      <c r="G77" s="9"/>
      <c r="H77" s="9"/>
      <c r="I77" s="9"/>
      <c r="J77" s="9"/>
      <c r="K77" s="9"/>
    </row>
    <row r="78" spans="1:11" ht="15.75" x14ac:dyDescent="0.25">
      <c r="A78" s="12">
        <v>67</v>
      </c>
      <c r="B78" s="8"/>
      <c r="C78" s="9">
        <f t="shared" si="2"/>
        <v>0</v>
      </c>
      <c r="D78" s="10">
        <f t="shared" si="3"/>
        <v>0</v>
      </c>
      <c r="E78" s="11"/>
      <c r="F78" s="9"/>
      <c r="G78" s="9"/>
      <c r="H78" s="9"/>
      <c r="I78" s="9"/>
      <c r="J78" s="9"/>
      <c r="K78" s="9"/>
    </row>
    <row r="79" spans="1:11" ht="15.75" x14ac:dyDescent="0.25">
      <c r="A79" s="12">
        <v>68</v>
      </c>
      <c r="B79" s="8"/>
      <c r="C79" s="9">
        <f t="shared" si="2"/>
        <v>0</v>
      </c>
      <c r="D79" s="10">
        <f t="shared" si="3"/>
        <v>0</v>
      </c>
      <c r="E79" s="11"/>
      <c r="F79" s="9"/>
      <c r="G79" s="9"/>
      <c r="H79" s="9"/>
      <c r="I79" s="9"/>
      <c r="J79" s="9"/>
      <c r="K79" s="9"/>
    </row>
    <row r="80" spans="1:11" ht="15.75" x14ac:dyDescent="0.25">
      <c r="A80" s="12">
        <v>69</v>
      </c>
      <c r="B80" s="8"/>
      <c r="C80" s="9">
        <f t="shared" si="2"/>
        <v>0</v>
      </c>
      <c r="D80" s="10">
        <f t="shared" si="3"/>
        <v>0</v>
      </c>
      <c r="E80" s="11"/>
      <c r="F80" s="9"/>
      <c r="G80" s="9"/>
      <c r="H80" s="9"/>
      <c r="I80" s="9"/>
      <c r="J80" s="9"/>
      <c r="K80" s="9"/>
    </row>
    <row r="81" spans="1:11" ht="15.75" x14ac:dyDescent="0.25">
      <c r="A81" s="12">
        <v>70</v>
      </c>
      <c r="B81" s="8"/>
      <c r="C81" s="9">
        <f t="shared" si="2"/>
        <v>0</v>
      </c>
      <c r="D81" s="10">
        <f t="shared" si="3"/>
        <v>0</v>
      </c>
      <c r="E81" s="11"/>
      <c r="F81" s="9"/>
      <c r="G81" s="9"/>
      <c r="H81" s="9"/>
      <c r="I81" s="9"/>
      <c r="J81" s="9"/>
      <c r="K81" s="9"/>
    </row>
    <row r="82" spans="1:11" ht="15.75" x14ac:dyDescent="0.25">
      <c r="A82" s="12">
        <v>71</v>
      </c>
      <c r="B82" s="8"/>
      <c r="C82" s="9">
        <f t="shared" si="2"/>
        <v>0</v>
      </c>
      <c r="D82" s="10">
        <f t="shared" si="3"/>
        <v>0</v>
      </c>
      <c r="E82" s="11"/>
      <c r="F82" s="9"/>
      <c r="G82" s="9"/>
      <c r="H82" s="9"/>
      <c r="I82" s="9"/>
      <c r="J82" s="9"/>
      <c r="K82" s="9"/>
    </row>
    <row r="83" spans="1:11" ht="15.75" x14ac:dyDescent="0.25">
      <c r="A83" s="12">
        <v>72</v>
      </c>
      <c r="B83" s="8"/>
      <c r="C83" s="9">
        <f t="shared" si="2"/>
        <v>0</v>
      </c>
      <c r="D83" s="10">
        <f t="shared" si="3"/>
        <v>0</v>
      </c>
      <c r="E83" s="11"/>
      <c r="F83" s="9"/>
      <c r="G83" s="9"/>
      <c r="H83" s="9"/>
      <c r="I83" s="9"/>
      <c r="J83" s="9"/>
      <c r="K83" s="9"/>
    </row>
    <row r="84" spans="1:11" ht="15.75" x14ac:dyDescent="0.25">
      <c r="A84" s="12">
        <v>73</v>
      </c>
      <c r="B84" s="8"/>
      <c r="C84" s="9">
        <f t="shared" si="2"/>
        <v>0</v>
      </c>
      <c r="D84" s="10">
        <f t="shared" si="3"/>
        <v>0</v>
      </c>
      <c r="E84" s="11"/>
      <c r="F84" s="9"/>
      <c r="G84" s="9"/>
      <c r="H84" s="9"/>
      <c r="I84" s="9"/>
      <c r="J84" s="9"/>
      <c r="K84" s="9"/>
    </row>
    <row r="85" spans="1:11" ht="15.75" x14ac:dyDescent="0.25">
      <c r="A85" s="12">
        <v>74</v>
      </c>
      <c r="B85" s="8"/>
      <c r="C85" s="9">
        <f t="shared" si="2"/>
        <v>0</v>
      </c>
      <c r="D85" s="10">
        <f t="shared" si="3"/>
        <v>0</v>
      </c>
      <c r="E85" s="11"/>
      <c r="F85" s="9"/>
      <c r="G85" s="9"/>
      <c r="H85" s="9"/>
      <c r="I85" s="9"/>
      <c r="J85" s="9"/>
      <c r="K85" s="9"/>
    </row>
    <row r="86" spans="1:11" ht="15.75" x14ac:dyDescent="0.25">
      <c r="A86" s="12">
        <v>75</v>
      </c>
      <c r="B86" s="8"/>
      <c r="C86" s="9">
        <f t="shared" si="2"/>
        <v>0</v>
      </c>
      <c r="D86" s="10">
        <f t="shared" si="3"/>
        <v>0</v>
      </c>
      <c r="E86" s="11"/>
      <c r="F86" s="9"/>
      <c r="G86" s="9"/>
      <c r="H86" s="9"/>
      <c r="I86" s="9"/>
      <c r="J86" s="9"/>
      <c r="K86" s="9"/>
    </row>
    <row r="87" spans="1:11" ht="15.75" x14ac:dyDescent="0.25">
      <c r="A87" s="12">
        <v>76</v>
      </c>
      <c r="B87" s="8"/>
      <c r="C87" s="9">
        <f t="shared" si="2"/>
        <v>0</v>
      </c>
      <c r="D87" s="10">
        <f t="shared" si="3"/>
        <v>0</v>
      </c>
      <c r="E87" s="11"/>
      <c r="F87" s="9"/>
      <c r="G87" s="9"/>
      <c r="H87" s="9"/>
      <c r="I87" s="9"/>
      <c r="J87" s="9"/>
      <c r="K87" s="9"/>
    </row>
    <row r="88" spans="1:11" ht="15.75" x14ac:dyDescent="0.25">
      <c r="A88" s="12">
        <v>77</v>
      </c>
      <c r="B88" s="8"/>
      <c r="C88" s="9">
        <f t="shared" si="2"/>
        <v>0</v>
      </c>
      <c r="D88" s="10">
        <f t="shared" si="3"/>
        <v>0</v>
      </c>
      <c r="E88" s="11"/>
      <c r="F88" s="9"/>
      <c r="G88" s="9"/>
      <c r="H88" s="9"/>
      <c r="I88" s="9"/>
      <c r="J88" s="9"/>
      <c r="K88" s="9"/>
    </row>
    <row r="89" spans="1:11" ht="15.75" x14ac:dyDescent="0.25">
      <c r="A89" s="12">
        <v>78</v>
      </c>
      <c r="B89" s="8"/>
      <c r="C89" s="9">
        <f t="shared" si="2"/>
        <v>0</v>
      </c>
      <c r="D89" s="10">
        <f t="shared" si="3"/>
        <v>0</v>
      </c>
      <c r="E89" s="11"/>
      <c r="F89" s="9"/>
      <c r="G89" s="9"/>
      <c r="H89" s="9"/>
      <c r="I89" s="9"/>
      <c r="J89" s="9"/>
      <c r="K89" s="9"/>
    </row>
    <row r="90" spans="1:11" ht="15.75" x14ac:dyDescent="0.25">
      <c r="A90" s="12">
        <v>79</v>
      </c>
      <c r="B90" s="8"/>
      <c r="C90" s="9">
        <f t="shared" si="2"/>
        <v>0</v>
      </c>
      <c r="D90" s="10">
        <f t="shared" si="3"/>
        <v>0</v>
      </c>
      <c r="E90" s="11"/>
      <c r="F90" s="9"/>
      <c r="G90" s="9"/>
      <c r="H90" s="9"/>
      <c r="I90" s="9"/>
      <c r="J90" s="9"/>
      <c r="K90" s="9"/>
    </row>
    <row r="91" spans="1:11" ht="15.75" x14ac:dyDescent="0.25">
      <c r="A91" s="12">
        <v>80</v>
      </c>
      <c r="B91" s="8"/>
      <c r="C91" s="9">
        <f t="shared" si="2"/>
        <v>0</v>
      </c>
      <c r="D91" s="10">
        <f t="shared" si="3"/>
        <v>0</v>
      </c>
      <c r="E91" s="11"/>
      <c r="F91" s="9"/>
      <c r="G91" s="9"/>
      <c r="H91" s="9"/>
      <c r="I91" s="9"/>
      <c r="J91" s="9"/>
      <c r="K91" s="9"/>
    </row>
    <row r="92" spans="1:11" ht="15.75" x14ac:dyDescent="0.25">
      <c r="A92" s="12">
        <v>81</v>
      </c>
      <c r="B92" s="8"/>
      <c r="C92" s="9">
        <f t="shared" si="2"/>
        <v>0</v>
      </c>
      <c r="D92" s="10">
        <f t="shared" si="3"/>
        <v>0</v>
      </c>
      <c r="E92" s="11"/>
      <c r="F92" s="9"/>
      <c r="G92" s="9"/>
      <c r="H92" s="9"/>
      <c r="I92" s="9"/>
      <c r="J92" s="9"/>
      <c r="K92" s="9"/>
    </row>
    <row r="93" spans="1:11" ht="15.75" x14ac:dyDescent="0.25">
      <c r="A93" s="12">
        <v>82</v>
      </c>
      <c r="B93" s="8"/>
      <c r="C93" s="9">
        <f t="shared" si="2"/>
        <v>0</v>
      </c>
      <c r="D93" s="10">
        <f t="shared" si="3"/>
        <v>0</v>
      </c>
      <c r="E93" s="11"/>
      <c r="F93" s="9"/>
      <c r="G93" s="9"/>
      <c r="H93" s="9"/>
      <c r="I93" s="9"/>
      <c r="J93" s="9"/>
      <c r="K93" s="9"/>
    </row>
    <row r="94" spans="1:11" ht="15.75" x14ac:dyDescent="0.25">
      <c r="A94" s="12">
        <v>83</v>
      </c>
      <c r="B94" s="8"/>
      <c r="C94" s="9">
        <f t="shared" si="2"/>
        <v>0</v>
      </c>
      <c r="D94" s="10">
        <f t="shared" si="3"/>
        <v>0</v>
      </c>
      <c r="E94" s="11"/>
      <c r="F94" s="9"/>
      <c r="G94" s="9"/>
      <c r="H94" s="9"/>
      <c r="I94" s="9"/>
      <c r="J94" s="9"/>
      <c r="K94" s="9"/>
    </row>
    <row r="95" spans="1:11" ht="15.75" x14ac:dyDescent="0.25">
      <c r="A95" s="12">
        <v>84</v>
      </c>
      <c r="B95" s="8"/>
      <c r="C95" s="9">
        <f t="shared" si="2"/>
        <v>0</v>
      </c>
      <c r="D95" s="10">
        <f t="shared" si="3"/>
        <v>0</v>
      </c>
      <c r="E95" s="11"/>
      <c r="F95" s="9"/>
      <c r="G95" s="9"/>
      <c r="H95" s="9"/>
      <c r="I95" s="9"/>
      <c r="J95" s="9"/>
      <c r="K95" s="9"/>
    </row>
    <row r="96" spans="1:11" ht="15.75" x14ac:dyDescent="0.25">
      <c r="A96" s="12">
        <v>85</v>
      </c>
      <c r="B96" s="8"/>
      <c r="C96" s="9">
        <f t="shared" si="2"/>
        <v>0</v>
      </c>
      <c r="D96" s="10">
        <f t="shared" si="3"/>
        <v>0</v>
      </c>
      <c r="E96" s="11"/>
      <c r="F96" s="9"/>
      <c r="G96" s="9"/>
      <c r="H96" s="9"/>
      <c r="I96" s="9"/>
      <c r="J96" s="9"/>
      <c r="K96" s="9"/>
    </row>
    <row r="97" spans="1:11" ht="15.75" x14ac:dyDescent="0.25">
      <c r="A97" s="12">
        <v>86</v>
      </c>
      <c r="B97" s="8"/>
      <c r="C97" s="9">
        <f t="shared" si="2"/>
        <v>0</v>
      </c>
      <c r="D97" s="10">
        <f t="shared" si="3"/>
        <v>0</v>
      </c>
      <c r="E97" s="11"/>
      <c r="F97" s="9"/>
      <c r="G97" s="9"/>
      <c r="H97" s="9"/>
      <c r="I97" s="9"/>
      <c r="J97" s="9"/>
      <c r="K97" s="9"/>
    </row>
    <row r="98" spans="1:11" ht="15.75" x14ac:dyDescent="0.25">
      <c r="A98" s="12">
        <v>87</v>
      </c>
      <c r="B98" s="8"/>
      <c r="C98" s="9">
        <f t="shared" si="2"/>
        <v>0</v>
      </c>
      <c r="D98" s="10">
        <f t="shared" si="3"/>
        <v>0</v>
      </c>
      <c r="E98" s="11"/>
      <c r="F98" s="9"/>
      <c r="G98" s="9"/>
      <c r="H98" s="9"/>
      <c r="I98" s="9"/>
      <c r="J98" s="9"/>
      <c r="K98" s="9"/>
    </row>
    <row r="99" spans="1:11" ht="15.75" x14ac:dyDescent="0.25">
      <c r="A99" s="12">
        <v>88</v>
      </c>
      <c r="B99" s="8"/>
      <c r="C99" s="9">
        <f t="shared" si="2"/>
        <v>0</v>
      </c>
      <c r="D99" s="10">
        <f t="shared" si="3"/>
        <v>0</v>
      </c>
      <c r="E99" s="11"/>
      <c r="F99" s="9"/>
      <c r="G99" s="9"/>
      <c r="H99" s="9"/>
      <c r="I99" s="9"/>
      <c r="J99" s="9"/>
      <c r="K99" s="9"/>
    </row>
    <row r="100" spans="1:11" ht="15.75" x14ac:dyDescent="0.25">
      <c r="A100" s="12">
        <v>89</v>
      </c>
      <c r="B100" s="8"/>
      <c r="C100" s="9">
        <f t="shared" si="2"/>
        <v>0</v>
      </c>
      <c r="D100" s="10">
        <f t="shared" si="3"/>
        <v>0</v>
      </c>
      <c r="E100" s="11"/>
      <c r="F100" s="9"/>
      <c r="G100" s="9"/>
      <c r="H100" s="9"/>
      <c r="I100" s="9"/>
      <c r="J100" s="9"/>
      <c r="K100" s="9"/>
    </row>
    <row r="101" spans="1:11" ht="15.75" x14ac:dyDescent="0.25">
      <c r="A101" s="12">
        <v>90</v>
      </c>
      <c r="B101" s="8"/>
      <c r="C101" s="9">
        <f t="shared" si="2"/>
        <v>0</v>
      </c>
      <c r="D101" s="10">
        <f t="shared" si="3"/>
        <v>0</v>
      </c>
      <c r="E101" s="11"/>
      <c r="F101" s="9"/>
      <c r="G101" s="9"/>
      <c r="H101" s="9"/>
      <c r="I101" s="9"/>
      <c r="J101" s="9"/>
      <c r="K101" s="9"/>
    </row>
    <row r="102" spans="1:11" ht="15.75" x14ac:dyDescent="0.25">
      <c r="A102" s="12">
        <v>91</v>
      </c>
      <c r="B102" s="8"/>
      <c r="C102" s="9">
        <f t="shared" si="2"/>
        <v>0</v>
      </c>
      <c r="D102" s="10">
        <f t="shared" si="3"/>
        <v>0</v>
      </c>
      <c r="E102" s="11"/>
      <c r="F102" s="9"/>
      <c r="G102" s="9"/>
      <c r="H102" s="9"/>
      <c r="I102" s="9"/>
      <c r="J102" s="9"/>
      <c r="K102" s="9"/>
    </row>
    <row r="103" spans="1:11" ht="15.75" x14ac:dyDescent="0.25">
      <c r="A103" s="12">
        <v>92</v>
      </c>
      <c r="B103" s="8"/>
      <c r="C103" s="9">
        <f t="shared" si="2"/>
        <v>0</v>
      </c>
      <c r="D103" s="10">
        <f t="shared" si="3"/>
        <v>0</v>
      </c>
      <c r="E103" s="11"/>
      <c r="F103" s="9"/>
      <c r="G103" s="9"/>
      <c r="H103" s="9"/>
      <c r="I103" s="9"/>
      <c r="J103" s="9"/>
      <c r="K103" s="9"/>
    </row>
    <row r="104" spans="1:11" ht="15.75" x14ac:dyDescent="0.25">
      <c r="A104" s="12">
        <v>93</v>
      </c>
      <c r="B104" s="8"/>
      <c r="C104" s="9">
        <f t="shared" si="2"/>
        <v>0</v>
      </c>
      <c r="D104" s="10">
        <f t="shared" si="3"/>
        <v>0</v>
      </c>
      <c r="E104" s="11"/>
      <c r="F104" s="9"/>
      <c r="G104" s="9"/>
      <c r="H104" s="9"/>
      <c r="I104" s="9"/>
      <c r="J104" s="9"/>
      <c r="K104" s="9"/>
    </row>
    <row r="105" spans="1:11" ht="15.75" x14ac:dyDescent="0.25">
      <c r="A105" s="12">
        <v>94</v>
      </c>
      <c r="B105" s="8"/>
      <c r="C105" s="9">
        <f t="shared" si="2"/>
        <v>0</v>
      </c>
      <c r="D105" s="10">
        <f t="shared" si="3"/>
        <v>0</v>
      </c>
      <c r="E105" s="11"/>
      <c r="F105" s="9"/>
      <c r="G105" s="9"/>
      <c r="H105" s="9"/>
      <c r="I105" s="9"/>
      <c r="J105" s="9"/>
      <c r="K105" s="9"/>
    </row>
    <row r="106" spans="1:11" ht="15.75" x14ac:dyDescent="0.25">
      <c r="A106" s="12">
        <v>95</v>
      </c>
      <c r="B106" s="8"/>
      <c r="C106" s="9">
        <f t="shared" si="2"/>
        <v>0</v>
      </c>
      <c r="D106" s="10">
        <f t="shared" si="3"/>
        <v>0</v>
      </c>
      <c r="E106" s="11"/>
      <c r="F106" s="9"/>
      <c r="G106" s="9"/>
      <c r="H106" s="9"/>
      <c r="I106" s="9"/>
      <c r="J106" s="9"/>
      <c r="K106" s="9"/>
    </row>
    <row r="107" spans="1:11" ht="15.75" x14ac:dyDescent="0.25">
      <c r="A107" s="12">
        <v>96</v>
      </c>
      <c r="B107" s="8"/>
      <c r="C107" s="9">
        <f t="shared" si="2"/>
        <v>0</v>
      </c>
      <c r="D107" s="10">
        <f t="shared" si="3"/>
        <v>0</v>
      </c>
      <c r="E107" s="11"/>
      <c r="F107" s="9"/>
      <c r="G107" s="9"/>
      <c r="H107" s="9"/>
      <c r="I107" s="9"/>
      <c r="J107" s="9"/>
      <c r="K107" s="9"/>
    </row>
    <row r="108" spans="1:11" ht="15.75" x14ac:dyDescent="0.25">
      <c r="A108" s="12">
        <v>97</v>
      </c>
      <c r="B108" s="8"/>
      <c r="C108" s="9">
        <f t="shared" si="2"/>
        <v>0</v>
      </c>
      <c r="D108" s="10">
        <f t="shared" si="3"/>
        <v>0</v>
      </c>
      <c r="E108" s="11"/>
      <c r="F108" s="9"/>
      <c r="G108" s="9"/>
      <c r="H108" s="9"/>
      <c r="I108" s="9"/>
      <c r="J108" s="9"/>
      <c r="K108" s="9"/>
    </row>
    <row r="109" spans="1:11" ht="15.75" x14ac:dyDescent="0.25">
      <c r="A109" s="12">
        <v>98</v>
      </c>
      <c r="B109" s="8"/>
      <c r="C109" s="9">
        <f t="shared" si="2"/>
        <v>0</v>
      </c>
      <c r="D109" s="10">
        <f t="shared" si="3"/>
        <v>0</v>
      </c>
      <c r="E109" s="11"/>
      <c r="F109" s="9"/>
      <c r="G109" s="9"/>
      <c r="H109" s="9"/>
      <c r="I109" s="9"/>
      <c r="J109" s="9"/>
      <c r="K109" s="9"/>
    </row>
    <row r="110" spans="1:11" ht="15.75" x14ac:dyDescent="0.25">
      <c r="A110" s="12">
        <v>99</v>
      </c>
      <c r="B110" s="8"/>
      <c r="C110" s="9">
        <f t="shared" si="2"/>
        <v>0</v>
      </c>
      <c r="D110" s="10">
        <f t="shared" si="3"/>
        <v>0</v>
      </c>
      <c r="E110" s="11"/>
      <c r="F110" s="9"/>
      <c r="G110" s="9"/>
      <c r="H110" s="9"/>
      <c r="I110" s="9"/>
      <c r="J110" s="9"/>
      <c r="K110" s="9"/>
    </row>
    <row r="111" spans="1:11" ht="15.75" x14ac:dyDescent="0.25">
      <c r="A111" s="13">
        <v>100</v>
      </c>
      <c r="B111" s="8"/>
      <c r="C111" s="14">
        <f t="shared" si="2"/>
        <v>0</v>
      </c>
      <c r="D111" s="13">
        <f t="shared" si="3"/>
        <v>0</v>
      </c>
      <c r="E111" s="11"/>
      <c r="F111" s="9"/>
      <c r="G111" s="9"/>
      <c r="H111" s="9"/>
      <c r="I111" s="9"/>
      <c r="J111" s="9"/>
      <c r="K111" s="9"/>
    </row>
    <row r="112" spans="1:11" ht="15.75" x14ac:dyDescent="0.25">
      <c r="A112" s="10" t="s">
        <v>35</v>
      </c>
      <c r="B112" s="10">
        <f t="shared" ref="B112:K112" si="4">COUNT(B12:B111)</f>
        <v>0</v>
      </c>
      <c r="C112" s="10">
        <f t="shared" si="4"/>
        <v>100</v>
      </c>
      <c r="D112" s="10">
        <f>COUNT(D12:D111)</f>
        <v>100</v>
      </c>
      <c r="E112" s="10">
        <f t="shared" si="4"/>
        <v>0</v>
      </c>
      <c r="F112" s="10">
        <f t="shared" si="4"/>
        <v>0</v>
      </c>
      <c r="G112" s="10">
        <f t="shared" si="4"/>
        <v>0</v>
      </c>
      <c r="H112" s="10">
        <f t="shared" si="4"/>
        <v>0</v>
      </c>
      <c r="I112" s="10">
        <f t="shared" si="4"/>
        <v>0</v>
      </c>
      <c r="J112" s="10">
        <f t="shared" si="4"/>
        <v>0</v>
      </c>
      <c r="K112" s="10">
        <f t="shared" si="4"/>
        <v>0</v>
      </c>
    </row>
    <row r="113" spans="1:11" ht="15.75" x14ac:dyDescent="0.25">
      <c r="A113" s="10" t="s">
        <v>36</v>
      </c>
      <c r="B113" s="10">
        <f t="shared" ref="B113:K113" si="5">SUM(B12:B111)</f>
        <v>0</v>
      </c>
      <c r="C113" s="10">
        <f t="shared" si="5"/>
        <v>0</v>
      </c>
      <c r="D113" s="10">
        <f t="shared" si="5"/>
        <v>0</v>
      </c>
      <c r="E113" s="10">
        <f t="shared" si="5"/>
        <v>0</v>
      </c>
      <c r="F113" s="10">
        <f t="shared" si="5"/>
        <v>0</v>
      </c>
      <c r="G113" s="10">
        <f t="shared" si="5"/>
        <v>0</v>
      </c>
      <c r="H113" s="10">
        <f t="shared" si="5"/>
        <v>0</v>
      </c>
      <c r="I113" s="10">
        <f t="shared" si="5"/>
        <v>0</v>
      </c>
      <c r="J113" s="10">
        <f t="shared" si="5"/>
        <v>0</v>
      </c>
      <c r="K113" s="10">
        <f t="shared" si="5"/>
        <v>0</v>
      </c>
    </row>
    <row r="114" spans="1:11" ht="15.75" x14ac:dyDescent="0.25">
      <c r="A114" s="15" t="s">
        <v>37</v>
      </c>
      <c r="B114" s="16">
        <f t="shared" ref="B114:K114" si="6">IF(B112&lt;&gt;0,B113/B112,0)</f>
        <v>0</v>
      </c>
      <c r="C114" s="16">
        <f t="shared" si="6"/>
        <v>0</v>
      </c>
      <c r="D114" s="16">
        <f t="shared" si="6"/>
        <v>0</v>
      </c>
      <c r="E114" s="16">
        <f t="shared" si="6"/>
        <v>0</v>
      </c>
      <c r="F114" s="16">
        <f t="shared" si="6"/>
        <v>0</v>
      </c>
      <c r="G114" s="16">
        <f t="shared" si="6"/>
        <v>0</v>
      </c>
      <c r="H114" s="16">
        <f t="shared" si="6"/>
        <v>0</v>
      </c>
      <c r="I114" s="16">
        <f t="shared" si="6"/>
        <v>0</v>
      </c>
      <c r="J114" s="16">
        <f t="shared" si="6"/>
        <v>0</v>
      </c>
      <c r="K114" s="16">
        <f t="shared" si="6"/>
        <v>0</v>
      </c>
    </row>
    <row r="115" spans="1:11" ht="16.5" thickBot="1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 spans="1:11" ht="15.75" x14ac:dyDescent="0.25">
      <c r="A116" s="17" t="s">
        <v>38</v>
      </c>
      <c r="B116" s="18"/>
      <c r="C116" s="18"/>
      <c r="D116" s="18"/>
      <c r="E116" s="18"/>
      <c r="F116" s="19">
        <f>F113</f>
        <v>0</v>
      </c>
      <c r="G116" s="19">
        <f t="shared" ref="G116:K116" si="7">G113</f>
        <v>0</v>
      </c>
      <c r="H116" s="19">
        <f t="shared" si="7"/>
        <v>0</v>
      </c>
      <c r="I116" s="19">
        <f t="shared" si="7"/>
        <v>0</v>
      </c>
      <c r="J116" s="19">
        <f t="shared" si="7"/>
        <v>0</v>
      </c>
      <c r="K116" s="19">
        <f t="shared" si="7"/>
        <v>0</v>
      </c>
    </row>
    <row r="117" spans="1:11" ht="15.75" x14ac:dyDescent="0.25">
      <c r="A117" s="20" t="s">
        <v>39</v>
      </c>
      <c r="B117" s="8"/>
      <c r="C117" s="8"/>
      <c r="D117" s="8"/>
      <c r="E117" s="8"/>
      <c r="F117" s="21" t="e">
        <f>F112/$B112</f>
        <v>#DIV/0!</v>
      </c>
      <c r="G117" s="21" t="e">
        <f t="shared" ref="G117:K117" si="8">G112/$B112</f>
        <v>#DIV/0!</v>
      </c>
      <c r="H117" s="21" t="e">
        <f t="shared" si="8"/>
        <v>#DIV/0!</v>
      </c>
      <c r="I117" s="21" t="e">
        <f t="shared" si="8"/>
        <v>#DIV/0!</v>
      </c>
      <c r="J117" s="21" t="e">
        <f t="shared" si="8"/>
        <v>#DIV/0!</v>
      </c>
      <c r="K117" s="21" t="e">
        <f t="shared" si="8"/>
        <v>#DIV/0!</v>
      </c>
    </row>
    <row r="118" spans="1:11" ht="15.75" x14ac:dyDescent="0.25">
      <c r="A118" s="20" t="s">
        <v>40</v>
      </c>
      <c r="B118" s="8"/>
      <c r="C118" s="8"/>
      <c r="D118" s="8"/>
      <c r="E118" s="8"/>
      <c r="F118" s="22" t="e">
        <f>F116/$D113</f>
        <v>#DIV/0!</v>
      </c>
      <c r="G118" s="22" t="e">
        <f t="shared" ref="G118:K118" si="9">G116/$D113</f>
        <v>#DIV/0!</v>
      </c>
      <c r="H118" s="22" t="e">
        <f t="shared" si="9"/>
        <v>#DIV/0!</v>
      </c>
      <c r="I118" s="22" t="e">
        <f t="shared" si="9"/>
        <v>#DIV/0!</v>
      </c>
      <c r="J118" s="22" t="e">
        <f t="shared" si="9"/>
        <v>#DIV/0!</v>
      </c>
      <c r="K118" s="22" t="e">
        <f t="shared" si="9"/>
        <v>#DIV/0!</v>
      </c>
    </row>
    <row r="119" spans="1:11" ht="16.5" thickBot="1" x14ac:dyDescent="0.3">
      <c r="A119" s="23" t="s">
        <v>41</v>
      </c>
      <c r="B119" s="24"/>
      <c r="C119" s="24"/>
      <c r="D119" s="24"/>
      <c r="E119" s="24"/>
      <c r="F119" s="25" t="e">
        <f>F117*F118</f>
        <v>#DIV/0!</v>
      </c>
      <c r="G119" s="25" t="e">
        <f t="shared" ref="G119:K119" si="10">G117*G118</f>
        <v>#DIV/0!</v>
      </c>
      <c r="H119" s="25" t="e">
        <f t="shared" si="10"/>
        <v>#DIV/0!</v>
      </c>
      <c r="I119" s="25" t="e">
        <f t="shared" si="10"/>
        <v>#DIV/0!</v>
      </c>
      <c r="J119" s="25" t="e">
        <f t="shared" si="10"/>
        <v>#DIV/0!</v>
      </c>
      <c r="K119" s="25" t="e">
        <f t="shared" si="10"/>
        <v>#DIV/0!</v>
      </c>
    </row>
  </sheetData>
  <mergeCells count="12">
    <mergeCell ref="B8:F8"/>
    <mergeCell ref="A10:A11"/>
    <mergeCell ref="B10:B11"/>
    <mergeCell ref="C10:C11"/>
    <mergeCell ref="D10:D11"/>
    <mergeCell ref="E10:E11"/>
    <mergeCell ref="F10:K10"/>
    <mergeCell ref="A1:K1"/>
    <mergeCell ref="A2:K2"/>
    <mergeCell ref="A3:K3"/>
    <mergeCell ref="A4:K4"/>
    <mergeCell ref="B6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73FFB-2FA9-4CCD-852E-180B603069CB}">
  <dimension ref="A1:H37"/>
  <sheetViews>
    <sheetView tabSelected="1" workbookViewId="0">
      <selection activeCell="H43" sqref="H43"/>
    </sheetView>
  </sheetViews>
  <sheetFormatPr defaultColWidth="18.28515625" defaultRowHeight="15" x14ac:dyDescent="0.25"/>
  <cols>
    <col min="1" max="1" width="9.5703125" customWidth="1"/>
    <col min="2" max="2" width="7.28515625" bestFit="1" customWidth="1"/>
    <col min="3" max="3" width="21.28515625" customWidth="1"/>
    <col min="4" max="4" width="18.140625" bestFit="1" customWidth="1"/>
    <col min="5" max="5" width="9.28515625" bestFit="1" customWidth="1"/>
    <col min="6" max="6" width="8.42578125" bestFit="1" customWidth="1"/>
    <col min="7" max="7" width="28" customWidth="1"/>
    <col min="8" max="8" width="61.140625" customWidth="1"/>
  </cols>
  <sheetData>
    <row r="1" spans="1:8" ht="15.75" x14ac:dyDescent="0.25">
      <c r="A1" s="103" t="s">
        <v>0</v>
      </c>
      <c r="B1" s="103"/>
      <c r="C1" s="103"/>
      <c r="D1" s="103"/>
      <c r="E1" s="103"/>
      <c r="F1" s="103"/>
      <c r="G1" s="103"/>
      <c r="H1" s="103"/>
    </row>
    <row r="2" spans="1:8" x14ac:dyDescent="0.25">
      <c r="A2" s="104" t="s">
        <v>1</v>
      </c>
      <c r="B2" s="104"/>
      <c r="C2" s="104"/>
      <c r="D2" s="104"/>
      <c r="E2" s="104"/>
      <c r="F2" s="104"/>
      <c r="G2" s="104"/>
      <c r="H2" s="104"/>
    </row>
    <row r="3" spans="1:8" ht="15.75" thickBot="1" x14ac:dyDescent="0.3">
      <c r="A3" s="30"/>
      <c r="B3" s="104" t="s">
        <v>50</v>
      </c>
      <c r="C3" s="104"/>
      <c r="D3" s="104"/>
      <c r="E3" s="104"/>
      <c r="F3" s="104"/>
      <c r="G3" s="104"/>
      <c r="H3" s="104"/>
    </row>
    <row r="4" spans="1:8" ht="15.75" thickBot="1" x14ac:dyDescent="0.3">
      <c r="A4" s="105" t="s">
        <v>51</v>
      </c>
      <c r="B4" s="106"/>
      <c r="C4" s="31"/>
      <c r="D4" s="32"/>
      <c r="E4" s="105" t="s">
        <v>7</v>
      </c>
      <c r="F4" s="106"/>
      <c r="G4" s="29"/>
      <c r="H4" s="33" t="s">
        <v>52</v>
      </c>
    </row>
    <row r="5" spans="1:8" ht="15.75" thickBot="1" x14ac:dyDescent="0.3">
      <c r="A5" s="34"/>
      <c r="B5" s="34"/>
      <c r="C5" s="34"/>
      <c r="D5" s="34"/>
      <c r="E5" s="34"/>
      <c r="F5" s="34"/>
      <c r="G5" s="34"/>
      <c r="H5" s="34"/>
    </row>
    <row r="6" spans="1:8" ht="26.25" thickBot="1" x14ac:dyDescent="0.3">
      <c r="A6" s="35" t="s">
        <v>53</v>
      </c>
      <c r="B6" s="35" t="s">
        <v>54</v>
      </c>
      <c r="C6" s="35" t="s">
        <v>55</v>
      </c>
      <c r="D6" s="35" t="s">
        <v>56</v>
      </c>
      <c r="E6" s="35" t="s">
        <v>57</v>
      </c>
      <c r="F6" s="36" t="s">
        <v>58</v>
      </c>
      <c r="G6" s="35" t="s">
        <v>59</v>
      </c>
      <c r="H6" s="35" t="s">
        <v>60</v>
      </c>
    </row>
    <row r="7" spans="1:8" x14ac:dyDescent="0.25">
      <c r="A7" s="98" t="s">
        <v>61</v>
      </c>
      <c r="B7" s="37">
        <v>1</v>
      </c>
      <c r="C7" s="38" t="s">
        <v>62</v>
      </c>
      <c r="D7" s="39"/>
      <c r="E7" s="40"/>
      <c r="F7" s="40"/>
      <c r="G7" s="40"/>
      <c r="H7" s="41"/>
    </row>
    <row r="8" spans="1:8" ht="25.5" x14ac:dyDescent="0.25">
      <c r="A8" s="99"/>
      <c r="B8" s="42">
        <v>1.1000000000000001</v>
      </c>
      <c r="C8" s="43" t="s">
        <v>63</v>
      </c>
      <c r="D8" s="44" t="s">
        <v>64</v>
      </c>
      <c r="E8" s="45"/>
      <c r="F8" s="46"/>
      <c r="G8" s="44" t="s">
        <v>65</v>
      </c>
      <c r="H8" s="44" t="s">
        <v>66</v>
      </c>
    </row>
    <row r="9" spans="1:8" ht="51" x14ac:dyDescent="0.25">
      <c r="A9" s="99"/>
      <c r="B9" s="42">
        <v>1.2</v>
      </c>
      <c r="C9" s="43" t="s">
        <v>67</v>
      </c>
      <c r="D9" s="44" t="s">
        <v>68</v>
      </c>
      <c r="E9" s="45"/>
      <c r="F9" s="46"/>
      <c r="G9" s="44" t="s">
        <v>69</v>
      </c>
      <c r="H9" s="44" t="s">
        <v>66</v>
      </c>
    </row>
    <row r="10" spans="1:8" ht="76.5" x14ac:dyDescent="0.25">
      <c r="A10" s="99"/>
      <c r="B10" s="42">
        <v>1.3</v>
      </c>
      <c r="C10" s="43" t="s">
        <v>70</v>
      </c>
      <c r="D10" s="44" t="s">
        <v>71</v>
      </c>
      <c r="E10" s="45"/>
      <c r="F10" s="46"/>
      <c r="G10" s="44" t="s">
        <v>72</v>
      </c>
      <c r="H10" s="44" t="s">
        <v>73</v>
      </c>
    </row>
    <row r="11" spans="1:8" ht="38.25" x14ac:dyDescent="0.25">
      <c r="A11" s="99"/>
      <c r="B11" s="42">
        <v>1.4</v>
      </c>
      <c r="C11" s="43" t="s">
        <v>74</v>
      </c>
      <c r="D11" s="44" t="s">
        <v>75</v>
      </c>
      <c r="E11" s="45"/>
      <c r="F11" s="46"/>
      <c r="G11" s="44" t="s">
        <v>76</v>
      </c>
      <c r="H11" s="44" t="s">
        <v>77</v>
      </c>
    </row>
    <row r="12" spans="1:8" ht="127.5" x14ac:dyDescent="0.25">
      <c r="A12" s="99"/>
      <c r="B12" s="42">
        <v>1.5</v>
      </c>
      <c r="C12" s="43" t="s">
        <v>78</v>
      </c>
      <c r="D12" s="44" t="s">
        <v>71</v>
      </c>
      <c r="E12" s="45"/>
      <c r="F12" s="46"/>
      <c r="G12" s="44" t="s">
        <v>79</v>
      </c>
      <c r="H12" s="44" t="s">
        <v>80</v>
      </c>
    </row>
    <row r="13" spans="1:8" x14ac:dyDescent="0.25">
      <c r="A13" s="99"/>
      <c r="B13" s="42"/>
      <c r="C13" s="43" t="s">
        <v>81</v>
      </c>
      <c r="D13" s="47"/>
      <c r="E13" s="48"/>
      <c r="F13" s="48"/>
      <c r="G13" s="48"/>
      <c r="H13" s="49"/>
    </row>
    <row r="14" spans="1:8" ht="38.25" x14ac:dyDescent="0.25">
      <c r="A14" s="99"/>
      <c r="B14" s="42">
        <v>1.7</v>
      </c>
      <c r="C14" s="43" t="s">
        <v>82</v>
      </c>
      <c r="D14" s="44" t="s">
        <v>83</v>
      </c>
      <c r="E14" s="45"/>
      <c r="F14" s="46"/>
      <c r="G14" s="44"/>
      <c r="H14" s="44" t="s">
        <v>84</v>
      </c>
    </row>
    <row r="15" spans="1:8" ht="25.5" x14ac:dyDescent="0.25">
      <c r="A15" s="99"/>
      <c r="B15" s="42">
        <v>1.8</v>
      </c>
      <c r="C15" s="43" t="s">
        <v>85</v>
      </c>
      <c r="D15" s="44" t="s">
        <v>86</v>
      </c>
      <c r="E15" s="45"/>
      <c r="F15" s="46"/>
      <c r="G15" s="44"/>
      <c r="H15" s="44" t="s">
        <v>87</v>
      </c>
    </row>
    <row r="16" spans="1:8" x14ac:dyDescent="0.25">
      <c r="A16" s="99"/>
      <c r="B16" s="42"/>
      <c r="C16" s="47" t="s">
        <v>88</v>
      </c>
      <c r="D16" s="48"/>
      <c r="E16" s="48"/>
      <c r="F16" s="48"/>
      <c r="G16" s="48"/>
      <c r="H16" s="49"/>
    </row>
    <row r="17" spans="1:8" ht="25.5" x14ac:dyDescent="0.25">
      <c r="A17" s="99"/>
      <c r="B17" s="42">
        <v>1.9</v>
      </c>
      <c r="C17" s="50" t="s">
        <v>89</v>
      </c>
      <c r="D17" s="51" t="s">
        <v>90</v>
      </c>
      <c r="E17" s="52"/>
      <c r="F17" s="53"/>
      <c r="G17" s="51" t="s">
        <v>91</v>
      </c>
      <c r="H17" s="51" t="s">
        <v>92</v>
      </c>
    </row>
    <row r="18" spans="1:8" ht="51" x14ac:dyDescent="0.25">
      <c r="A18" s="99"/>
      <c r="B18" s="54">
        <v>1.1000000000000001</v>
      </c>
      <c r="C18" s="50" t="s">
        <v>93</v>
      </c>
      <c r="D18" s="51" t="s">
        <v>94</v>
      </c>
      <c r="E18" s="52"/>
      <c r="F18" s="53"/>
      <c r="G18" s="51" t="s">
        <v>95</v>
      </c>
      <c r="H18" s="51"/>
    </row>
    <row r="19" spans="1:8" ht="51" x14ac:dyDescent="0.25">
      <c r="A19" s="99"/>
      <c r="B19" s="42">
        <v>1.1100000000000001</v>
      </c>
      <c r="C19" s="50" t="s">
        <v>96</v>
      </c>
      <c r="D19" s="51" t="s">
        <v>94</v>
      </c>
      <c r="E19" s="52"/>
      <c r="F19" s="53"/>
      <c r="G19" s="51" t="s">
        <v>97</v>
      </c>
      <c r="H19" s="55" t="s">
        <v>98</v>
      </c>
    </row>
    <row r="20" spans="1:8" ht="38.25" x14ac:dyDescent="0.25">
      <c r="A20" s="99"/>
      <c r="B20" s="42">
        <v>1.1200000000000001</v>
      </c>
      <c r="C20" s="50" t="s">
        <v>99</v>
      </c>
      <c r="D20" s="51" t="s">
        <v>100</v>
      </c>
      <c r="E20" s="52"/>
      <c r="F20" s="53"/>
      <c r="G20" s="51" t="s">
        <v>101</v>
      </c>
      <c r="H20" s="51"/>
    </row>
    <row r="21" spans="1:8" ht="38.25" x14ac:dyDescent="0.25">
      <c r="A21" s="99"/>
      <c r="B21" s="42">
        <v>1.1299999999999999</v>
      </c>
      <c r="C21" s="50" t="s">
        <v>102</v>
      </c>
      <c r="D21" s="51" t="s">
        <v>103</v>
      </c>
      <c r="E21" s="52"/>
      <c r="F21" s="53"/>
      <c r="G21" s="51" t="s">
        <v>104</v>
      </c>
      <c r="H21" s="51"/>
    </row>
    <row r="22" spans="1:8" ht="51.75" thickBot="1" x14ac:dyDescent="0.3">
      <c r="A22" s="100"/>
      <c r="B22" s="42">
        <v>1.1399999999999999</v>
      </c>
      <c r="C22" s="56" t="s">
        <v>105</v>
      </c>
      <c r="D22" s="57" t="s">
        <v>106</v>
      </c>
      <c r="E22" s="58"/>
      <c r="F22" s="59"/>
      <c r="G22" s="57" t="s">
        <v>107</v>
      </c>
      <c r="H22" s="57" t="s">
        <v>108</v>
      </c>
    </row>
    <row r="23" spans="1:8" x14ac:dyDescent="0.25">
      <c r="A23" s="98" t="s">
        <v>109</v>
      </c>
      <c r="B23" s="60"/>
      <c r="C23" s="75" t="s">
        <v>110</v>
      </c>
      <c r="D23" s="39"/>
      <c r="E23" s="40"/>
      <c r="F23" s="40"/>
      <c r="G23" s="40"/>
      <c r="H23" s="41"/>
    </row>
    <row r="24" spans="1:8" ht="25.5" x14ac:dyDescent="0.25">
      <c r="A24" s="99"/>
      <c r="B24" s="42">
        <v>2.1</v>
      </c>
      <c r="C24" s="43" t="s">
        <v>111</v>
      </c>
      <c r="D24" s="44" t="s">
        <v>112</v>
      </c>
      <c r="E24" s="45"/>
      <c r="F24" s="46"/>
      <c r="G24" s="44" t="s">
        <v>113</v>
      </c>
      <c r="H24" s="44" t="s">
        <v>114</v>
      </c>
    </row>
    <row r="25" spans="1:8" ht="38.25" x14ac:dyDescent="0.25">
      <c r="A25" s="99"/>
      <c r="B25" s="42">
        <v>2.2000000000000002</v>
      </c>
      <c r="C25" s="43" t="s">
        <v>115</v>
      </c>
      <c r="D25" s="44" t="s">
        <v>116</v>
      </c>
      <c r="E25" s="45"/>
      <c r="F25" s="46"/>
      <c r="G25" s="44" t="s">
        <v>117</v>
      </c>
      <c r="H25" s="44"/>
    </row>
    <row r="26" spans="1:8" x14ac:dyDescent="0.25">
      <c r="A26" s="99"/>
      <c r="B26" s="44"/>
      <c r="C26" s="76" t="s">
        <v>118</v>
      </c>
      <c r="D26" s="47"/>
      <c r="E26" s="48"/>
      <c r="F26" s="48"/>
      <c r="G26" s="48"/>
      <c r="H26" s="49"/>
    </row>
    <row r="27" spans="1:8" ht="25.5" x14ac:dyDescent="0.25">
      <c r="A27" s="99"/>
      <c r="B27" s="42">
        <v>2.2999999999999998</v>
      </c>
      <c r="C27" s="43" t="s">
        <v>111</v>
      </c>
      <c r="D27" s="44" t="s">
        <v>112</v>
      </c>
      <c r="E27" s="45"/>
      <c r="F27" s="46"/>
      <c r="G27" s="44" t="s">
        <v>113</v>
      </c>
      <c r="H27" s="44" t="s">
        <v>119</v>
      </c>
    </row>
    <row r="28" spans="1:8" ht="38.25" x14ac:dyDescent="0.25">
      <c r="A28" s="99"/>
      <c r="B28" s="42">
        <v>2.4</v>
      </c>
      <c r="C28" s="43" t="s">
        <v>120</v>
      </c>
      <c r="D28" s="44" t="s">
        <v>116</v>
      </c>
      <c r="E28" s="45"/>
      <c r="F28" s="46"/>
      <c r="G28" s="44" t="s">
        <v>117</v>
      </c>
      <c r="H28" s="44"/>
    </row>
    <row r="29" spans="1:8" ht="51" x14ac:dyDescent="0.25">
      <c r="A29" s="99"/>
      <c r="B29" s="42">
        <v>2.5</v>
      </c>
      <c r="C29" s="61" t="s">
        <v>121</v>
      </c>
      <c r="D29" s="44" t="s">
        <v>122</v>
      </c>
      <c r="E29" s="45"/>
      <c r="F29" s="46"/>
      <c r="G29" s="44" t="s">
        <v>65</v>
      </c>
      <c r="H29" s="44"/>
    </row>
    <row r="30" spans="1:8" ht="38.25" x14ac:dyDescent="0.25">
      <c r="A30" s="99"/>
      <c r="B30" s="42">
        <v>2.6</v>
      </c>
      <c r="C30" s="61" t="s">
        <v>123</v>
      </c>
      <c r="D30" s="44" t="s">
        <v>116</v>
      </c>
      <c r="E30" s="45"/>
      <c r="F30" s="46"/>
      <c r="G30" s="44" t="s">
        <v>124</v>
      </c>
      <c r="H30" s="44"/>
    </row>
    <row r="31" spans="1:8" ht="39" thickBot="1" x14ac:dyDescent="0.3">
      <c r="A31" s="100"/>
      <c r="B31" s="62">
        <v>2.7</v>
      </c>
      <c r="C31" s="63" t="s">
        <v>125</v>
      </c>
      <c r="D31" s="64" t="s">
        <v>116</v>
      </c>
      <c r="E31" s="65"/>
      <c r="F31" s="66"/>
      <c r="G31" s="64" t="s">
        <v>124</v>
      </c>
      <c r="H31" s="64"/>
    </row>
    <row r="32" spans="1:8" x14ac:dyDescent="0.25">
      <c r="A32" s="101" t="s">
        <v>126</v>
      </c>
      <c r="B32" s="44">
        <v>3.1</v>
      </c>
      <c r="C32" s="43" t="s">
        <v>127</v>
      </c>
      <c r="D32" s="44" t="s">
        <v>128</v>
      </c>
      <c r="E32" s="45"/>
      <c r="F32" s="46"/>
      <c r="G32" s="44" t="s">
        <v>129</v>
      </c>
      <c r="H32" s="44" t="s">
        <v>130</v>
      </c>
    </row>
    <row r="33" spans="1:8" x14ac:dyDescent="0.25">
      <c r="A33" s="101"/>
      <c r="B33" s="44">
        <v>3.2</v>
      </c>
      <c r="C33" s="43" t="s">
        <v>131</v>
      </c>
      <c r="D33" s="44" t="s">
        <v>132</v>
      </c>
      <c r="E33" s="45"/>
      <c r="F33" s="46"/>
      <c r="G33" s="44" t="s">
        <v>129</v>
      </c>
      <c r="H33" s="44" t="s">
        <v>130</v>
      </c>
    </row>
    <row r="34" spans="1:8" x14ac:dyDescent="0.25">
      <c r="A34" s="101"/>
      <c r="B34" s="44">
        <v>3.3</v>
      </c>
      <c r="C34" s="43" t="s">
        <v>133</v>
      </c>
      <c r="D34" s="44" t="s">
        <v>134</v>
      </c>
      <c r="E34" s="45"/>
      <c r="F34" s="46"/>
      <c r="G34" s="44" t="s">
        <v>129</v>
      </c>
      <c r="H34" s="44" t="s">
        <v>130</v>
      </c>
    </row>
    <row r="35" spans="1:8" x14ac:dyDescent="0.25">
      <c r="A35" s="101"/>
      <c r="B35" s="44">
        <v>3.4</v>
      </c>
      <c r="C35" s="43" t="s">
        <v>135</v>
      </c>
      <c r="D35" s="44" t="s">
        <v>136</v>
      </c>
      <c r="E35" s="45"/>
      <c r="F35" s="46"/>
      <c r="G35" s="44" t="s">
        <v>129</v>
      </c>
      <c r="H35" s="44" t="s">
        <v>130</v>
      </c>
    </row>
    <row r="36" spans="1:8" ht="38.25" x14ac:dyDescent="0.25">
      <c r="A36" s="101"/>
      <c r="B36" s="44">
        <v>3.6</v>
      </c>
      <c r="C36" s="67" t="s">
        <v>137</v>
      </c>
      <c r="D36" s="44" t="s">
        <v>138</v>
      </c>
      <c r="E36" s="45"/>
      <c r="F36" s="46"/>
      <c r="G36" s="44" t="s">
        <v>139</v>
      </c>
      <c r="H36" s="44"/>
    </row>
    <row r="37" spans="1:8" ht="39" thickBot="1" x14ac:dyDescent="0.3">
      <c r="A37" s="102"/>
      <c r="B37" s="68">
        <v>3.7</v>
      </c>
      <c r="C37" s="69" t="s">
        <v>140</v>
      </c>
      <c r="D37" s="68" t="s">
        <v>141</v>
      </c>
      <c r="E37" s="70"/>
      <c r="F37" s="71"/>
      <c r="G37" s="68" t="s">
        <v>142</v>
      </c>
      <c r="H37" s="72" t="s">
        <v>143</v>
      </c>
    </row>
  </sheetData>
  <mergeCells count="8">
    <mergeCell ref="A23:A31"/>
    <mergeCell ref="A32:A37"/>
    <mergeCell ref="A1:H1"/>
    <mergeCell ref="A2:H2"/>
    <mergeCell ref="B3:H3"/>
    <mergeCell ref="A4:B4"/>
    <mergeCell ref="E4:F4"/>
    <mergeCell ref="A7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excavator</vt:lpstr>
      <vt:lpstr>mpdm</vt:lpstr>
      <vt:lpstr>daily-variables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Mengistu Getie</dc:creator>
  <cp:lastModifiedBy>Mengistu</cp:lastModifiedBy>
  <dcterms:created xsi:type="dcterms:W3CDTF">2026-03-03T06:34:23Z</dcterms:created>
  <dcterms:modified xsi:type="dcterms:W3CDTF">2026-05-23T08:07:02Z</dcterms:modified>
</cp:coreProperties>
</file>