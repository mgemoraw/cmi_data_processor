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CMI-NPN\CMI_DATA_PROCESSOR\input_folder\output\"/>
    </mc:Choice>
  </mc:AlternateContent>
  <xr:revisionPtr revIDLastSave="0" documentId="11_C3383FCB096E765E3B8423EFB525933607CE7E8A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Dozer" sheetId="1" r:id="rId1"/>
    <sheet name="MPDM 1" sheetId="2" r:id="rId2"/>
  </sheets>
  <definedNames>
    <definedName name="_xlnm.Print_Area" localSheetId="0">Dozer!$A$1:$R$111</definedName>
    <definedName name="_xlnm.Print_Area" localSheetId="1">'MPDM 1'!$A$1:$T$120</definedName>
  </definedNames>
  <calcPr calcId="191029"/>
</workbook>
</file>

<file path=xl/calcChain.xml><?xml version="1.0" encoding="utf-8"?>
<calcChain xmlns="http://schemas.openxmlformats.org/spreadsheetml/2006/main">
  <c r="B114" i="2" l="1"/>
  <c r="B113" i="2"/>
  <c r="C119" i="2" s="1"/>
  <c r="H112" i="2"/>
  <c r="G112" i="2"/>
  <c r="F112" i="2"/>
  <c r="E112" i="2"/>
  <c r="D112" i="2"/>
  <c r="C112" i="2"/>
  <c r="H111" i="2"/>
  <c r="G111" i="2"/>
  <c r="F111" i="2"/>
  <c r="E111" i="2"/>
  <c r="D111" i="2"/>
  <c r="C111" i="2"/>
  <c r="H110" i="2"/>
  <c r="G110" i="2"/>
  <c r="F110" i="2"/>
  <c r="E110" i="2"/>
  <c r="D110" i="2"/>
  <c r="C110" i="2"/>
  <c r="H109" i="2"/>
  <c r="G109" i="2"/>
  <c r="F109" i="2"/>
  <c r="E109" i="2"/>
  <c r="D109" i="2"/>
  <c r="C109" i="2"/>
  <c r="I109" i="2" s="1"/>
  <c r="H108" i="2"/>
  <c r="G108" i="2"/>
  <c r="F108" i="2"/>
  <c r="E108" i="2"/>
  <c r="D108" i="2"/>
  <c r="C108" i="2"/>
  <c r="I108" i="2" s="1"/>
  <c r="H107" i="2"/>
  <c r="G107" i="2"/>
  <c r="F107" i="2"/>
  <c r="E107" i="2"/>
  <c r="D107" i="2"/>
  <c r="C107" i="2"/>
  <c r="H106" i="2"/>
  <c r="G106" i="2"/>
  <c r="F106" i="2"/>
  <c r="E106" i="2"/>
  <c r="D106" i="2"/>
  <c r="C106" i="2"/>
  <c r="H105" i="2"/>
  <c r="G105" i="2"/>
  <c r="F105" i="2"/>
  <c r="E105" i="2"/>
  <c r="D105" i="2"/>
  <c r="C105" i="2"/>
  <c r="H104" i="2"/>
  <c r="G104" i="2"/>
  <c r="F104" i="2"/>
  <c r="E104" i="2"/>
  <c r="D104" i="2"/>
  <c r="C104" i="2"/>
  <c r="H103" i="2"/>
  <c r="G103" i="2"/>
  <c r="F103" i="2"/>
  <c r="E103" i="2"/>
  <c r="D103" i="2"/>
  <c r="C103" i="2"/>
  <c r="H102" i="2"/>
  <c r="G102" i="2"/>
  <c r="F102" i="2"/>
  <c r="E102" i="2"/>
  <c r="D102" i="2"/>
  <c r="C102" i="2"/>
  <c r="I101" i="2"/>
  <c r="H101" i="2"/>
  <c r="G101" i="2"/>
  <c r="F101" i="2"/>
  <c r="E101" i="2"/>
  <c r="D101" i="2"/>
  <c r="C101" i="2"/>
  <c r="H100" i="2"/>
  <c r="G100" i="2"/>
  <c r="F100" i="2"/>
  <c r="E100" i="2"/>
  <c r="D100" i="2"/>
  <c r="C100" i="2"/>
  <c r="I100" i="2" s="1"/>
  <c r="H99" i="2"/>
  <c r="G99" i="2"/>
  <c r="F99" i="2"/>
  <c r="E99" i="2"/>
  <c r="D99" i="2"/>
  <c r="C99" i="2"/>
  <c r="H98" i="2"/>
  <c r="G98" i="2"/>
  <c r="F98" i="2"/>
  <c r="E98" i="2"/>
  <c r="D98" i="2"/>
  <c r="C98" i="2"/>
  <c r="K97" i="2"/>
  <c r="J97" i="2"/>
  <c r="H97" i="2"/>
  <c r="G97" i="2"/>
  <c r="F97" i="2"/>
  <c r="E97" i="2"/>
  <c r="D97" i="2"/>
  <c r="C97" i="2"/>
  <c r="I97" i="2" s="1"/>
  <c r="H96" i="2"/>
  <c r="G96" i="2"/>
  <c r="F96" i="2"/>
  <c r="E96" i="2"/>
  <c r="D96" i="2"/>
  <c r="C96" i="2"/>
  <c r="I96" i="2" s="1"/>
  <c r="H95" i="2"/>
  <c r="G95" i="2"/>
  <c r="F95" i="2"/>
  <c r="E95" i="2"/>
  <c r="D95" i="2"/>
  <c r="C95" i="2"/>
  <c r="H94" i="2"/>
  <c r="G94" i="2"/>
  <c r="F94" i="2"/>
  <c r="E94" i="2"/>
  <c r="D94" i="2"/>
  <c r="C94" i="2"/>
  <c r="K93" i="2"/>
  <c r="H93" i="2"/>
  <c r="G93" i="2"/>
  <c r="F93" i="2"/>
  <c r="E93" i="2"/>
  <c r="D93" i="2"/>
  <c r="C93" i="2"/>
  <c r="I93" i="2" s="1"/>
  <c r="J93" i="2" s="1"/>
  <c r="H92" i="2"/>
  <c r="G92" i="2"/>
  <c r="F92" i="2"/>
  <c r="E92" i="2"/>
  <c r="D92" i="2"/>
  <c r="C92" i="2"/>
  <c r="H91" i="2"/>
  <c r="G91" i="2"/>
  <c r="F91" i="2"/>
  <c r="E91" i="2"/>
  <c r="D91" i="2"/>
  <c r="C91" i="2"/>
  <c r="H90" i="2"/>
  <c r="G90" i="2"/>
  <c r="F90" i="2"/>
  <c r="E90" i="2"/>
  <c r="D90" i="2"/>
  <c r="C90" i="2"/>
  <c r="H89" i="2"/>
  <c r="G89" i="2"/>
  <c r="F89" i="2"/>
  <c r="E89" i="2"/>
  <c r="D89" i="2"/>
  <c r="C89" i="2"/>
  <c r="I89" i="2" s="1"/>
  <c r="H88" i="2"/>
  <c r="G88" i="2"/>
  <c r="F88" i="2"/>
  <c r="E88" i="2"/>
  <c r="D88" i="2"/>
  <c r="C88" i="2"/>
  <c r="I88" i="2" s="1"/>
  <c r="H87" i="2"/>
  <c r="G87" i="2"/>
  <c r="F87" i="2"/>
  <c r="E87" i="2"/>
  <c r="D87" i="2"/>
  <c r="C87" i="2"/>
  <c r="I86" i="2"/>
  <c r="H86" i="2"/>
  <c r="G86" i="2"/>
  <c r="F86" i="2"/>
  <c r="E86" i="2"/>
  <c r="D86" i="2"/>
  <c r="C86" i="2"/>
  <c r="H85" i="2"/>
  <c r="G85" i="2"/>
  <c r="F85" i="2"/>
  <c r="E85" i="2"/>
  <c r="D85" i="2"/>
  <c r="C85" i="2"/>
  <c r="I85" i="2" s="1"/>
  <c r="H84" i="2"/>
  <c r="G84" i="2"/>
  <c r="F84" i="2"/>
  <c r="E84" i="2"/>
  <c r="D84" i="2"/>
  <c r="C84" i="2"/>
  <c r="H83" i="2"/>
  <c r="G83" i="2"/>
  <c r="F83" i="2"/>
  <c r="E83" i="2"/>
  <c r="D83" i="2"/>
  <c r="C83" i="2"/>
  <c r="J82" i="2"/>
  <c r="I82" i="2"/>
  <c r="H82" i="2"/>
  <c r="G82" i="2"/>
  <c r="F82" i="2"/>
  <c r="E82" i="2"/>
  <c r="D82" i="2"/>
  <c r="C82" i="2"/>
  <c r="H81" i="2"/>
  <c r="G81" i="2"/>
  <c r="F81" i="2"/>
  <c r="E81" i="2"/>
  <c r="D81" i="2"/>
  <c r="C81" i="2"/>
  <c r="H80" i="2"/>
  <c r="G80" i="2"/>
  <c r="F80" i="2"/>
  <c r="E80" i="2"/>
  <c r="D80" i="2"/>
  <c r="C80" i="2"/>
  <c r="H79" i="2"/>
  <c r="G79" i="2"/>
  <c r="F79" i="2"/>
  <c r="E79" i="2"/>
  <c r="D79" i="2"/>
  <c r="C79" i="2"/>
  <c r="K78" i="2"/>
  <c r="J78" i="2"/>
  <c r="H78" i="2"/>
  <c r="G78" i="2"/>
  <c r="F78" i="2"/>
  <c r="E78" i="2"/>
  <c r="D78" i="2"/>
  <c r="C78" i="2"/>
  <c r="I78" i="2" s="1"/>
  <c r="H77" i="2"/>
  <c r="G77" i="2"/>
  <c r="F77" i="2"/>
  <c r="E77" i="2"/>
  <c r="D77" i="2"/>
  <c r="C77" i="2"/>
  <c r="H76" i="2"/>
  <c r="G76" i="2"/>
  <c r="F76" i="2"/>
  <c r="E76" i="2"/>
  <c r="D76" i="2"/>
  <c r="C76" i="2"/>
  <c r="K75" i="2"/>
  <c r="I75" i="2"/>
  <c r="J75" i="2" s="1"/>
  <c r="H75" i="2"/>
  <c r="G75" i="2"/>
  <c r="F75" i="2"/>
  <c r="E75" i="2"/>
  <c r="D75" i="2"/>
  <c r="C75" i="2"/>
  <c r="H74" i="2"/>
  <c r="G74" i="2"/>
  <c r="F74" i="2"/>
  <c r="E74" i="2"/>
  <c r="D74" i="2"/>
  <c r="C74" i="2"/>
  <c r="H73" i="2"/>
  <c r="G73" i="2"/>
  <c r="F73" i="2"/>
  <c r="E73" i="2"/>
  <c r="D73" i="2"/>
  <c r="C73" i="2"/>
  <c r="K72" i="2"/>
  <c r="H72" i="2"/>
  <c r="G72" i="2"/>
  <c r="F72" i="2"/>
  <c r="E72" i="2"/>
  <c r="D72" i="2"/>
  <c r="C72" i="2"/>
  <c r="I72" i="2" s="1"/>
  <c r="J72" i="2" s="1"/>
  <c r="H71" i="2"/>
  <c r="G71" i="2"/>
  <c r="F71" i="2"/>
  <c r="E71" i="2"/>
  <c r="D71" i="2"/>
  <c r="C71" i="2"/>
  <c r="H70" i="2"/>
  <c r="G70" i="2"/>
  <c r="F70" i="2"/>
  <c r="E70" i="2"/>
  <c r="D70" i="2"/>
  <c r="C70" i="2"/>
  <c r="K69" i="2"/>
  <c r="J69" i="2"/>
  <c r="H69" i="2"/>
  <c r="G69" i="2"/>
  <c r="F69" i="2"/>
  <c r="E69" i="2"/>
  <c r="D69" i="2"/>
  <c r="C69" i="2"/>
  <c r="I69" i="2" s="1"/>
  <c r="H68" i="2"/>
  <c r="G68" i="2"/>
  <c r="F68" i="2"/>
  <c r="E68" i="2"/>
  <c r="D68" i="2"/>
  <c r="C68" i="2"/>
  <c r="H67" i="2"/>
  <c r="G67" i="2"/>
  <c r="F67" i="2"/>
  <c r="E67" i="2"/>
  <c r="D67" i="2"/>
  <c r="C67" i="2"/>
  <c r="H66" i="2"/>
  <c r="G66" i="2"/>
  <c r="F66" i="2"/>
  <c r="E66" i="2"/>
  <c r="D66" i="2"/>
  <c r="C66" i="2"/>
  <c r="I66" i="2" s="1"/>
  <c r="K66" i="2" s="1"/>
  <c r="H65" i="2"/>
  <c r="G65" i="2"/>
  <c r="F65" i="2"/>
  <c r="E65" i="2"/>
  <c r="D65" i="2"/>
  <c r="C65" i="2"/>
  <c r="H64" i="2"/>
  <c r="G64" i="2"/>
  <c r="F64" i="2"/>
  <c r="E64" i="2"/>
  <c r="D64" i="2"/>
  <c r="C64" i="2"/>
  <c r="H63" i="2"/>
  <c r="G63" i="2"/>
  <c r="F63" i="2"/>
  <c r="E63" i="2"/>
  <c r="D63" i="2"/>
  <c r="C63" i="2"/>
  <c r="I63" i="2" s="1"/>
  <c r="J63" i="2" s="1"/>
  <c r="H62" i="2"/>
  <c r="G62" i="2"/>
  <c r="F62" i="2"/>
  <c r="E62" i="2"/>
  <c r="D62" i="2"/>
  <c r="C62" i="2"/>
  <c r="H61" i="2"/>
  <c r="G61" i="2"/>
  <c r="F61" i="2"/>
  <c r="E61" i="2"/>
  <c r="D61" i="2"/>
  <c r="C61" i="2"/>
  <c r="K60" i="2"/>
  <c r="H60" i="2"/>
  <c r="G60" i="2"/>
  <c r="F60" i="2"/>
  <c r="E60" i="2"/>
  <c r="D60" i="2"/>
  <c r="I60" i="2" s="1"/>
  <c r="C60" i="2"/>
  <c r="H59" i="2"/>
  <c r="G59" i="2"/>
  <c r="F59" i="2"/>
  <c r="E59" i="2"/>
  <c r="D59" i="2"/>
  <c r="C59" i="2"/>
  <c r="H58" i="2"/>
  <c r="G58" i="2"/>
  <c r="F58" i="2"/>
  <c r="E58" i="2"/>
  <c r="D58" i="2"/>
  <c r="C58" i="2"/>
  <c r="H57" i="2"/>
  <c r="G57" i="2"/>
  <c r="F57" i="2"/>
  <c r="E57" i="2"/>
  <c r="D57" i="2"/>
  <c r="C57" i="2"/>
  <c r="H56" i="2"/>
  <c r="G56" i="2"/>
  <c r="F56" i="2"/>
  <c r="E56" i="2"/>
  <c r="D56" i="2"/>
  <c r="C56" i="2"/>
  <c r="H55" i="2"/>
  <c r="G55" i="2"/>
  <c r="I55" i="2" s="1"/>
  <c r="F55" i="2"/>
  <c r="E55" i="2"/>
  <c r="D55" i="2"/>
  <c r="C55" i="2"/>
  <c r="K54" i="2"/>
  <c r="H54" i="2"/>
  <c r="G54" i="2"/>
  <c r="F54" i="2"/>
  <c r="E54" i="2"/>
  <c r="D54" i="2"/>
  <c r="I54" i="2" s="1"/>
  <c r="J54" i="2" s="1"/>
  <c r="C54" i="2"/>
  <c r="H53" i="2"/>
  <c r="G53" i="2"/>
  <c r="F53" i="2"/>
  <c r="E53" i="2"/>
  <c r="D53" i="2"/>
  <c r="C53" i="2"/>
  <c r="H52" i="2"/>
  <c r="G52" i="2"/>
  <c r="F52" i="2"/>
  <c r="E52" i="2"/>
  <c r="D52" i="2"/>
  <c r="C52" i="2"/>
  <c r="H51" i="2"/>
  <c r="G51" i="2"/>
  <c r="F51" i="2"/>
  <c r="E51" i="2"/>
  <c r="D51" i="2"/>
  <c r="I51" i="2" s="1"/>
  <c r="C51" i="2"/>
  <c r="H50" i="2"/>
  <c r="G50" i="2"/>
  <c r="F50" i="2"/>
  <c r="E50" i="2"/>
  <c r="D50" i="2"/>
  <c r="C50" i="2"/>
  <c r="K49" i="2"/>
  <c r="J49" i="2"/>
  <c r="I49" i="2"/>
  <c r="H49" i="2"/>
  <c r="G49" i="2"/>
  <c r="F49" i="2"/>
  <c r="E49" i="2"/>
  <c r="D49" i="2"/>
  <c r="C49" i="2"/>
  <c r="H48" i="2"/>
  <c r="G48" i="2"/>
  <c r="F48" i="2"/>
  <c r="E48" i="2"/>
  <c r="D48" i="2"/>
  <c r="C48" i="2"/>
  <c r="H47" i="2"/>
  <c r="G47" i="2"/>
  <c r="F47" i="2"/>
  <c r="E47" i="2"/>
  <c r="D47" i="2"/>
  <c r="C47" i="2"/>
  <c r="H46" i="2"/>
  <c r="G46" i="2"/>
  <c r="F46" i="2"/>
  <c r="E46" i="2"/>
  <c r="D46" i="2"/>
  <c r="C46" i="2"/>
  <c r="H45" i="2"/>
  <c r="G45" i="2"/>
  <c r="F45" i="2"/>
  <c r="E45" i="2"/>
  <c r="D45" i="2"/>
  <c r="C45" i="2"/>
  <c r="I45" i="2" s="1"/>
  <c r="H44" i="2"/>
  <c r="G44" i="2"/>
  <c r="F44" i="2"/>
  <c r="E44" i="2"/>
  <c r="D44" i="2"/>
  <c r="C44" i="2"/>
  <c r="H43" i="2"/>
  <c r="G43" i="2"/>
  <c r="F43" i="2"/>
  <c r="E43" i="2"/>
  <c r="D43" i="2"/>
  <c r="C43" i="2"/>
  <c r="H42" i="2"/>
  <c r="G42" i="2"/>
  <c r="F42" i="2"/>
  <c r="E42" i="2"/>
  <c r="D42" i="2"/>
  <c r="C42" i="2"/>
  <c r="I42" i="2" s="1"/>
  <c r="H41" i="2"/>
  <c r="G41" i="2"/>
  <c r="F41" i="2"/>
  <c r="E41" i="2"/>
  <c r="D41" i="2"/>
  <c r="C41" i="2"/>
  <c r="H40" i="2"/>
  <c r="G40" i="2"/>
  <c r="F40" i="2"/>
  <c r="E40" i="2"/>
  <c r="D40" i="2"/>
  <c r="C40" i="2"/>
  <c r="H39" i="2"/>
  <c r="G39" i="2"/>
  <c r="F39" i="2"/>
  <c r="E39" i="2"/>
  <c r="D39" i="2"/>
  <c r="C39" i="2"/>
  <c r="H38" i="2"/>
  <c r="G38" i="2"/>
  <c r="F38" i="2"/>
  <c r="E38" i="2"/>
  <c r="D38" i="2"/>
  <c r="C38" i="2"/>
  <c r="H37" i="2"/>
  <c r="G37" i="2"/>
  <c r="F37" i="2"/>
  <c r="E37" i="2"/>
  <c r="D37" i="2"/>
  <c r="C37" i="2"/>
  <c r="H36" i="2"/>
  <c r="G36" i="2"/>
  <c r="F36" i="2"/>
  <c r="E36" i="2"/>
  <c r="D36" i="2"/>
  <c r="C36" i="2"/>
  <c r="H35" i="2"/>
  <c r="G35" i="2"/>
  <c r="F35" i="2"/>
  <c r="E35" i="2"/>
  <c r="D35" i="2"/>
  <c r="C35" i="2"/>
  <c r="I34" i="2"/>
  <c r="H34" i="2"/>
  <c r="G34" i="2"/>
  <c r="F34" i="2"/>
  <c r="E34" i="2"/>
  <c r="D34" i="2"/>
  <c r="C34" i="2"/>
  <c r="H33" i="2"/>
  <c r="G33" i="2"/>
  <c r="F33" i="2"/>
  <c r="E33" i="2"/>
  <c r="D33" i="2"/>
  <c r="C33" i="2"/>
  <c r="H32" i="2"/>
  <c r="G32" i="2"/>
  <c r="F32" i="2"/>
  <c r="E32" i="2"/>
  <c r="D32" i="2"/>
  <c r="C32" i="2"/>
  <c r="H31" i="2"/>
  <c r="G31" i="2"/>
  <c r="F31" i="2"/>
  <c r="E31" i="2"/>
  <c r="D31" i="2"/>
  <c r="C31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G28" i="2"/>
  <c r="F28" i="2"/>
  <c r="E28" i="2"/>
  <c r="D28" i="2"/>
  <c r="C28" i="2"/>
  <c r="I27" i="2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I24" i="2"/>
  <c r="H24" i="2"/>
  <c r="G24" i="2"/>
  <c r="F24" i="2"/>
  <c r="E24" i="2"/>
  <c r="D24" i="2"/>
  <c r="C24" i="2"/>
  <c r="H23" i="2"/>
  <c r="I23" i="2" s="1"/>
  <c r="G23" i="2"/>
  <c r="F23" i="2"/>
  <c r="E23" i="2"/>
  <c r="D23" i="2"/>
  <c r="C23" i="2"/>
  <c r="H22" i="2"/>
  <c r="G22" i="2"/>
  <c r="F22" i="2"/>
  <c r="E22" i="2"/>
  <c r="D22" i="2"/>
  <c r="C22" i="2"/>
  <c r="I22" i="2" s="1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K15" i="2"/>
  <c r="J15" i="2"/>
  <c r="I15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M111" i="1"/>
  <c r="J111" i="1"/>
  <c r="I111" i="1"/>
  <c r="H111" i="1"/>
  <c r="L110" i="1"/>
  <c r="N110" i="1" s="1"/>
  <c r="L109" i="1"/>
  <c r="N109" i="1" s="1"/>
  <c r="L108" i="1"/>
  <c r="N108" i="1" s="1"/>
  <c r="N107" i="1"/>
  <c r="L107" i="1"/>
  <c r="L106" i="1"/>
  <c r="N106" i="1" s="1"/>
  <c r="L105" i="1"/>
  <c r="N105" i="1" s="1"/>
  <c r="L104" i="1"/>
  <c r="N104" i="1" s="1"/>
  <c r="L103" i="1"/>
  <c r="N103" i="1" s="1"/>
  <c r="L102" i="1"/>
  <c r="N102" i="1" s="1"/>
  <c r="N101" i="1"/>
  <c r="L101" i="1"/>
  <c r="L100" i="1"/>
  <c r="N100" i="1" s="1"/>
  <c r="L99" i="1"/>
  <c r="N99" i="1" s="1"/>
  <c r="L98" i="1"/>
  <c r="N98" i="1" s="1"/>
  <c r="L97" i="1"/>
  <c r="N97" i="1" s="1"/>
  <c r="L96" i="1"/>
  <c r="N96" i="1" s="1"/>
  <c r="N95" i="1"/>
  <c r="L95" i="1"/>
  <c r="L94" i="1"/>
  <c r="N94" i="1" s="1"/>
  <c r="L93" i="1"/>
  <c r="N93" i="1" s="1"/>
  <c r="L92" i="1"/>
  <c r="N92" i="1" s="1"/>
  <c r="L91" i="1"/>
  <c r="N91" i="1" s="1"/>
  <c r="L90" i="1"/>
  <c r="N90" i="1" s="1"/>
  <c r="N89" i="1"/>
  <c r="L89" i="1"/>
  <c r="L88" i="1"/>
  <c r="N88" i="1" s="1"/>
  <c r="L87" i="1"/>
  <c r="N87" i="1" s="1"/>
  <c r="L86" i="1"/>
  <c r="N86" i="1" s="1"/>
  <c r="L85" i="1"/>
  <c r="N85" i="1" s="1"/>
  <c r="L84" i="1"/>
  <c r="N84" i="1" s="1"/>
  <c r="N83" i="1"/>
  <c r="L83" i="1"/>
  <c r="L82" i="1"/>
  <c r="N82" i="1" s="1"/>
  <c r="L81" i="1"/>
  <c r="N81" i="1" s="1"/>
  <c r="L80" i="1"/>
  <c r="N80" i="1" s="1"/>
  <c r="L79" i="1"/>
  <c r="N79" i="1" s="1"/>
  <c r="L78" i="1"/>
  <c r="N78" i="1" s="1"/>
  <c r="N77" i="1"/>
  <c r="L77" i="1"/>
  <c r="L76" i="1"/>
  <c r="N76" i="1" s="1"/>
  <c r="L75" i="1"/>
  <c r="N75" i="1" s="1"/>
  <c r="L74" i="1"/>
  <c r="N74" i="1" s="1"/>
  <c r="L73" i="1"/>
  <c r="N73" i="1" s="1"/>
  <c r="L72" i="1"/>
  <c r="N72" i="1" s="1"/>
  <c r="N71" i="1"/>
  <c r="L71" i="1"/>
  <c r="L70" i="1"/>
  <c r="N70" i="1" s="1"/>
  <c r="L69" i="1"/>
  <c r="N69" i="1" s="1"/>
  <c r="L68" i="1"/>
  <c r="N68" i="1" s="1"/>
  <c r="L67" i="1"/>
  <c r="N67" i="1" s="1"/>
  <c r="L66" i="1"/>
  <c r="N66" i="1" s="1"/>
  <c r="N65" i="1"/>
  <c r="L65" i="1"/>
  <c r="L64" i="1"/>
  <c r="N64" i="1" s="1"/>
  <c r="L63" i="1"/>
  <c r="N63" i="1" s="1"/>
  <c r="L62" i="1"/>
  <c r="N62" i="1" s="1"/>
  <c r="L61" i="1"/>
  <c r="N61" i="1" s="1"/>
  <c r="L60" i="1"/>
  <c r="N60" i="1" s="1"/>
  <c r="N59" i="1"/>
  <c r="L59" i="1"/>
  <c r="L58" i="1"/>
  <c r="N58" i="1" s="1"/>
  <c r="L57" i="1"/>
  <c r="N57" i="1" s="1"/>
  <c r="L56" i="1"/>
  <c r="N56" i="1" s="1"/>
  <c r="L55" i="1"/>
  <c r="N55" i="1" s="1"/>
  <c r="L54" i="1"/>
  <c r="N54" i="1" s="1"/>
  <c r="N53" i="1"/>
  <c r="L53" i="1"/>
  <c r="L52" i="1"/>
  <c r="N52" i="1" s="1"/>
  <c r="L51" i="1"/>
  <c r="N51" i="1" s="1"/>
  <c r="L50" i="1"/>
  <c r="N50" i="1" s="1"/>
  <c r="L49" i="1"/>
  <c r="N49" i="1" s="1"/>
  <c r="L48" i="1"/>
  <c r="N48" i="1" s="1"/>
  <c r="N47" i="1"/>
  <c r="L47" i="1"/>
  <c r="L46" i="1"/>
  <c r="N46" i="1" s="1"/>
  <c r="L45" i="1"/>
  <c r="N45" i="1" s="1"/>
  <c r="L44" i="1"/>
  <c r="N44" i="1" s="1"/>
  <c r="L43" i="1"/>
  <c r="N43" i="1" s="1"/>
  <c r="L42" i="1"/>
  <c r="N42" i="1" s="1"/>
  <c r="N41" i="1"/>
  <c r="L41" i="1"/>
  <c r="L40" i="1"/>
  <c r="N40" i="1" s="1"/>
  <c r="L39" i="1"/>
  <c r="N39" i="1" s="1"/>
  <c r="L38" i="1"/>
  <c r="N38" i="1" s="1"/>
  <c r="L37" i="1"/>
  <c r="N37" i="1" s="1"/>
  <c r="L36" i="1"/>
  <c r="N36" i="1" s="1"/>
  <c r="N35" i="1"/>
  <c r="L35" i="1"/>
  <c r="L34" i="1"/>
  <c r="N34" i="1" s="1"/>
  <c r="L33" i="1"/>
  <c r="N33" i="1" s="1"/>
  <c r="L32" i="1"/>
  <c r="N32" i="1" s="1"/>
  <c r="L31" i="1"/>
  <c r="N31" i="1" s="1"/>
  <c r="L30" i="1"/>
  <c r="N30" i="1" s="1"/>
  <c r="N29" i="1"/>
  <c r="L29" i="1"/>
  <c r="L28" i="1"/>
  <c r="N28" i="1" s="1"/>
  <c r="L27" i="1"/>
  <c r="N27" i="1" s="1"/>
  <c r="L26" i="1"/>
  <c r="N26" i="1" s="1"/>
  <c r="L25" i="1"/>
  <c r="N25" i="1" s="1"/>
  <c r="L24" i="1"/>
  <c r="N24" i="1" s="1"/>
  <c r="N23" i="1"/>
  <c r="L23" i="1"/>
  <c r="L22" i="1"/>
  <c r="N22" i="1" s="1"/>
  <c r="L21" i="1"/>
  <c r="N21" i="1" s="1"/>
  <c r="L20" i="1"/>
  <c r="N20" i="1" s="1"/>
  <c r="L19" i="1"/>
  <c r="N19" i="1" s="1"/>
  <c r="L18" i="1"/>
  <c r="N18" i="1" s="1"/>
  <c r="N17" i="1"/>
  <c r="L17" i="1"/>
  <c r="L16" i="1"/>
  <c r="N16" i="1" s="1"/>
  <c r="L15" i="1"/>
  <c r="N15" i="1" s="1"/>
  <c r="L14" i="1"/>
  <c r="N14" i="1" s="1"/>
  <c r="L13" i="1"/>
  <c r="N13" i="1" s="1"/>
  <c r="L12" i="1"/>
  <c r="N12" i="1" s="1"/>
  <c r="L11" i="1"/>
  <c r="K23" i="2" l="1"/>
  <c r="J23" i="2"/>
  <c r="K55" i="2"/>
  <c r="J55" i="2"/>
  <c r="K24" i="2"/>
  <c r="J24" i="2"/>
  <c r="G113" i="2"/>
  <c r="S113" i="2" s="1"/>
  <c r="I67" i="2"/>
  <c r="L111" i="1"/>
  <c r="N11" i="1"/>
  <c r="N111" i="1" s="1"/>
  <c r="H113" i="2"/>
  <c r="T113" i="2" s="1"/>
  <c r="I16" i="2"/>
  <c r="J27" i="2"/>
  <c r="K27" i="2"/>
  <c r="I64" i="2"/>
  <c r="I71" i="2"/>
  <c r="I56" i="2"/>
  <c r="I106" i="2"/>
  <c r="I99" i="2"/>
  <c r="I37" i="2"/>
  <c r="K34" i="2"/>
  <c r="I36" i="2"/>
  <c r="I48" i="2"/>
  <c r="I21" i="2"/>
  <c r="I13" i="2"/>
  <c r="I14" i="2"/>
  <c r="I19" i="2"/>
  <c r="J34" i="2"/>
  <c r="I38" i="2"/>
  <c r="I73" i="2"/>
  <c r="I18" i="2"/>
  <c r="I28" i="2"/>
  <c r="I43" i="2"/>
  <c r="I53" i="2"/>
  <c r="I110" i="2"/>
  <c r="I17" i="2"/>
  <c r="I31" i="2"/>
  <c r="I46" i="2"/>
  <c r="I62" i="2"/>
  <c r="I25" i="2"/>
  <c r="I30" i="2"/>
  <c r="I58" i="2"/>
  <c r="K101" i="2"/>
  <c r="K109" i="2"/>
  <c r="J109" i="2"/>
  <c r="I94" i="2"/>
  <c r="I40" i="2"/>
  <c r="I20" i="2"/>
  <c r="J22" i="2"/>
  <c r="K22" i="2"/>
  <c r="I26" i="2"/>
  <c r="J101" i="2"/>
  <c r="I92" i="2"/>
  <c r="K42" i="2"/>
  <c r="J42" i="2"/>
  <c r="J108" i="2"/>
  <c r="K108" i="2"/>
  <c r="K85" i="2"/>
  <c r="J85" i="2"/>
  <c r="I95" i="2"/>
  <c r="I102" i="2"/>
  <c r="I47" i="2"/>
  <c r="K63" i="2"/>
  <c r="I65" i="2"/>
  <c r="I76" i="2"/>
  <c r="I83" i="2"/>
  <c r="J88" i="2"/>
  <c r="K88" i="2"/>
  <c r="I90" i="2"/>
  <c r="I111" i="2"/>
  <c r="I41" i="2"/>
  <c r="J51" i="2"/>
  <c r="K51" i="2"/>
  <c r="J60" i="2"/>
  <c r="I74" i="2"/>
  <c r="I79" i="2"/>
  <c r="I84" i="2"/>
  <c r="K86" i="2"/>
  <c r="I91" i="2"/>
  <c r="I107" i="2"/>
  <c r="C113" i="2"/>
  <c r="I33" i="2"/>
  <c r="I59" i="2"/>
  <c r="J86" i="2"/>
  <c r="J89" i="2"/>
  <c r="I98" i="2"/>
  <c r="D113" i="2"/>
  <c r="P113" i="2" s="1"/>
  <c r="I39" i="2"/>
  <c r="K45" i="2"/>
  <c r="J45" i="2"/>
  <c r="I50" i="2"/>
  <c r="J66" i="2"/>
  <c r="I68" i="2"/>
  <c r="K89" i="2"/>
  <c r="J100" i="2"/>
  <c r="K100" i="2"/>
  <c r="I103" i="2"/>
  <c r="E113" i="2"/>
  <c r="Q113" i="2" s="1"/>
  <c r="I29" i="2"/>
  <c r="I52" i="2"/>
  <c r="I61" i="2"/>
  <c r="I77" i="2"/>
  <c r="I80" i="2"/>
  <c r="K82" i="2"/>
  <c r="I87" i="2"/>
  <c r="B119" i="2"/>
  <c r="B115" i="2"/>
  <c r="D119" i="2" s="1"/>
  <c r="F113" i="2"/>
  <c r="R113" i="2" s="1"/>
  <c r="I32" i="2"/>
  <c r="I70" i="2"/>
  <c r="K96" i="2"/>
  <c r="J96" i="2"/>
  <c r="I112" i="2"/>
  <c r="I35" i="2"/>
  <c r="I81" i="2"/>
  <c r="I104" i="2"/>
  <c r="I105" i="2"/>
  <c r="I57" i="2"/>
  <c r="I44" i="2"/>
  <c r="L113" i="2"/>
  <c r="K29" i="2" l="1"/>
  <c r="J29" i="2"/>
  <c r="K79" i="2"/>
  <c r="J79" i="2"/>
  <c r="K92" i="2"/>
  <c r="J92" i="2"/>
  <c r="P115" i="2"/>
  <c r="P116" i="2"/>
  <c r="K107" i="2"/>
  <c r="J107" i="2"/>
  <c r="K74" i="2"/>
  <c r="J74" i="2"/>
  <c r="K25" i="2"/>
  <c r="J25" i="2"/>
  <c r="S116" i="2"/>
  <c r="S115" i="2"/>
  <c r="S117" i="2" s="1"/>
  <c r="J41" i="2"/>
  <c r="K41" i="2"/>
  <c r="Q116" i="2"/>
  <c r="Q115" i="2"/>
  <c r="Q117" i="2" s="1"/>
  <c r="K76" i="2"/>
  <c r="J76" i="2"/>
  <c r="K26" i="2"/>
  <c r="J26" i="2"/>
  <c r="K40" i="2"/>
  <c r="J40" i="2"/>
  <c r="K31" i="2"/>
  <c r="J31" i="2"/>
  <c r="K43" i="2"/>
  <c r="J43" i="2"/>
  <c r="J38" i="2"/>
  <c r="K38" i="2"/>
  <c r="K105" i="2"/>
  <c r="J105" i="2"/>
  <c r="J87" i="2"/>
  <c r="K87" i="2"/>
  <c r="K91" i="2"/>
  <c r="J91" i="2"/>
  <c r="J111" i="2"/>
  <c r="K111" i="2"/>
  <c r="K47" i="2"/>
  <c r="J47" i="2"/>
  <c r="K94" i="2"/>
  <c r="J94" i="2"/>
  <c r="K62" i="2"/>
  <c r="J62" i="2"/>
  <c r="K77" i="2"/>
  <c r="J77" i="2"/>
  <c r="K103" i="2"/>
  <c r="J103" i="2"/>
  <c r="K95" i="2"/>
  <c r="J95" i="2"/>
  <c r="K61" i="2"/>
  <c r="J61" i="2"/>
  <c r="K59" i="2"/>
  <c r="J59" i="2"/>
  <c r="K58" i="2"/>
  <c r="J58" i="2"/>
  <c r="J28" i="2"/>
  <c r="K28" i="2"/>
  <c r="J99" i="2"/>
  <c r="K99" i="2"/>
  <c r="K106" i="2"/>
  <c r="J106" i="2"/>
  <c r="J13" i="2"/>
  <c r="K13" i="2"/>
  <c r="K68" i="2"/>
  <c r="J68" i="2"/>
  <c r="J57" i="2"/>
  <c r="K57" i="2"/>
  <c r="K98" i="2"/>
  <c r="J98" i="2"/>
  <c r="J17" i="2"/>
  <c r="K17" i="2"/>
  <c r="K18" i="2"/>
  <c r="J18" i="2"/>
  <c r="K48" i="2"/>
  <c r="J48" i="2"/>
  <c r="K71" i="2"/>
  <c r="J71" i="2"/>
  <c r="K16" i="2"/>
  <c r="J16" i="2"/>
  <c r="R115" i="2"/>
  <c r="R116" i="2"/>
  <c r="K53" i="2"/>
  <c r="J53" i="2"/>
  <c r="K83" i="2"/>
  <c r="J83" i="2"/>
  <c r="K110" i="2"/>
  <c r="J110" i="2"/>
  <c r="K64" i="2"/>
  <c r="J64" i="2"/>
  <c r="T115" i="2"/>
  <c r="T116" i="2"/>
  <c r="K102" i="2"/>
  <c r="J102" i="2"/>
  <c r="K70" i="2"/>
  <c r="J70" i="2"/>
  <c r="K50" i="2"/>
  <c r="J50" i="2"/>
  <c r="K65" i="2"/>
  <c r="J65" i="2"/>
  <c r="K46" i="2"/>
  <c r="J46" i="2"/>
  <c r="K36" i="2"/>
  <c r="J36" i="2"/>
  <c r="K35" i="2"/>
  <c r="J35" i="2"/>
  <c r="K37" i="2"/>
  <c r="J37" i="2"/>
  <c r="K104" i="2"/>
  <c r="J104" i="2"/>
  <c r="K81" i="2"/>
  <c r="J81" i="2"/>
  <c r="K80" i="2"/>
  <c r="J80" i="2"/>
  <c r="K84" i="2"/>
  <c r="J84" i="2"/>
  <c r="K90" i="2"/>
  <c r="J90" i="2"/>
  <c r="J30" i="2"/>
  <c r="K30" i="2"/>
  <c r="K19" i="2"/>
  <c r="J19" i="2"/>
  <c r="K56" i="2"/>
  <c r="J56" i="2"/>
  <c r="O113" i="2"/>
  <c r="J113" i="2"/>
  <c r="K73" i="2"/>
  <c r="J73" i="2"/>
  <c r="J39" i="2"/>
  <c r="K39" i="2"/>
  <c r="K44" i="2"/>
  <c r="J44" i="2"/>
  <c r="K21" i="2"/>
  <c r="J21" i="2"/>
  <c r="J112" i="2"/>
  <c r="K112" i="2"/>
  <c r="K52" i="2"/>
  <c r="J52" i="2"/>
  <c r="K20" i="2"/>
  <c r="J20" i="2"/>
  <c r="K32" i="2"/>
  <c r="J32" i="2"/>
  <c r="K33" i="2"/>
  <c r="J33" i="2"/>
  <c r="K14" i="2"/>
  <c r="J14" i="2"/>
  <c r="K67" i="2"/>
  <c r="J67" i="2"/>
  <c r="P117" i="2" l="1"/>
  <c r="J114" i="2"/>
  <c r="B118" i="2" s="1"/>
  <c r="J115" i="2"/>
  <c r="K115" i="2"/>
  <c r="K114" i="2"/>
  <c r="O115" i="2"/>
  <c r="O116" i="2"/>
  <c r="C118" i="2"/>
  <c r="M113" i="2"/>
  <c r="K113" i="2"/>
  <c r="T117" i="2"/>
  <c r="R117" i="2"/>
  <c r="O117" i="2" l="1"/>
  <c r="L102" i="2"/>
  <c r="L90" i="2"/>
  <c r="L101" i="2"/>
  <c r="L89" i="2"/>
  <c r="L77" i="2"/>
  <c r="L65" i="2"/>
  <c r="L53" i="2"/>
  <c r="L41" i="2"/>
  <c r="L29" i="2"/>
  <c r="H118" i="2"/>
  <c r="L110" i="2"/>
  <c r="D118" i="2"/>
  <c r="L108" i="2"/>
  <c r="L96" i="2"/>
  <c r="L81" i="2"/>
  <c r="L103" i="2"/>
  <c r="L92" i="2"/>
  <c r="L88" i="2"/>
  <c r="L74" i="2"/>
  <c r="L39" i="2"/>
  <c r="L36" i="2"/>
  <c r="L33" i="2"/>
  <c r="L112" i="2"/>
  <c r="L107" i="2"/>
  <c r="L99" i="2"/>
  <c r="L84" i="2"/>
  <c r="L71" i="2"/>
  <c r="L62" i="2"/>
  <c r="L91" i="2"/>
  <c r="L80" i="2"/>
  <c r="L68" i="2"/>
  <c r="L59" i="2"/>
  <c r="L50" i="2"/>
  <c r="L24" i="2"/>
  <c r="L111" i="2"/>
  <c r="L95" i="2"/>
  <c r="L87" i="2"/>
  <c r="L56" i="2"/>
  <c r="L47" i="2"/>
  <c r="L38" i="2"/>
  <c r="L106" i="2"/>
  <c r="L98" i="2"/>
  <c r="L79" i="2"/>
  <c r="L76" i="2"/>
  <c r="L83" i="2"/>
  <c r="L73" i="2"/>
  <c r="L67" i="2"/>
  <c r="L64" i="2"/>
  <c r="L32" i="2"/>
  <c r="L94" i="2"/>
  <c r="L86" i="2"/>
  <c r="L70" i="2"/>
  <c r="L61" i="2"/>
  <c r="L55" i="2"/>
  <c r="L52" i="2"/>
  <c r="L105" i="2"/>
  <c r="L58" i="2"/>
  <c r="L49" i="2"/>
  <c r="L43" i="2"/>
  <c r="L40" i="2"/>
  <c r="L23" i="2"/>
  <c r="L66" i="2"/>
  <c r="L35" i="2"/>
  <c r="L19" i="2"/>
  <c r="L30" i="2"/>
  <c r="L85" i="2"/>
  <c r="L25" i="2"/>
  <c r="L14" i="2"/>
  <c r="L57" i="2"/>
  <c r="L42" i="2"/>
  <c r="L37" i="2"/>
  <c r="L31" i="2"/>
  <c r="L21" i="2"/>
  <c r="L109" i="2"/>
  <c r="L16" i="2"/>
  <c r="L72" i="2"/>
  <c r="L48" i="2"/>
  <c r="L93" i="2"/>
  <c r="L63" i="2"/>
  <c r="L18" i="2"/>
  <c r="L54" i="2"/>
  <c r="L44" i="2"/>
  <c r="L28" i="2"/>
  <c r="L13" i="2"/>
  <c r="L97" i="2"/>
  <c r="L100" i="2"/>
  <c r="L78" i="2"/>
  <c r="L69" i="2"/>
  <c r="L46" i="2"/>
  <c r="L45" i="2"/>
  <c r="L15" i="2"/>
  <c r="L51" i="2"/>
  <c r="L27" i="2"/>
  <c r="L20" i="2"/>
  <c r="L34" i="2"/>
  <c r="L17" i="2"/>
  <c r="L104" i="2"/>
  <c r="L82" i="2"/>
  <c r="L26" i="2"/>
  <c r="L22" i="2"/>
  <c r="L75" i="2"/>
  <c r="L60" i="2"/>
  <c r="S42" i="2" l="1"/>
  <c r="P42" i="2"/>
  <c r="R42" i="2"/>
  <c r="M42" i="2"/>
  <c r="T42" i="2"/>
  <c r="Q42" i="2"/>
  <c r="O42" i="2"/>
  <c r="R33" i="2"/>
  <c r="O33" i="2"/>
  <c r="P33" i="2"/>
  <c r="T33" i="2"/>
  <c r="S33" i="2"/>
  <c r="Q33" i="2"/>
  <c r="M33" i="2"/>
  <c r="K118" i="2"/>
  <c r="P11" i="1" s="1"/>
  <c r="O11" i="1"/>
  <c r="O111" i="2"/>
  <c r="S111" i="2"/>
  <c r="R111" i="2"/>
  <c r="T111" i="2"/>
  <c r="P111" i="2"/>
  <c r="Q111" i="2"/>
  <c r="M111" i="2"/>
  <c r="S20" i="2"/>
  <c r="P20" i="2"/>
  <c r="R20" i="2"/>
  <c r="T20" i="2"/>
  <c r="Q20" i="2"/>
  <c r="O20" i="2"/>
  <c r="M20" i="2"/>
  <c r="R36" i="2"/>
  <c r="Q36" i="2"/>
  <c r="T36" i="2"/>
  <c r="S36" i="2"/>
  <c r="O36" i="2"/>
  <c r="P36" i="2"/>
  <c r="M36" i="2"/>
  <c r="Q18" i="2"/>
  <c r="T18" i="2"/>
  <c r="P18" i="2"/>
  <c r="R18" i="2"/>
  <c r="O18" i="2"/>
  <c r="S18" i="2"/>
  <c r="M18" i="2"/>
  <c r="P14" i="2"/>
  <c r="S14" i="2"/>
  <c r="O14" i="2"/>
  <c r="Q14" i="2"/>
  <c r="T14" i="2"/>
  <c r="R14" i="2"/>
  <c r="M14" i="2"/>
  <c r="S105" i="2"/>
  <c r="R105" i="2"/>
  <c r="P105" i="2"/>
  <c r="O105" i="2"/>
  <c r="Q105" i="2"/>
  <c r="T105" i="2"/>
  <c r="M105" i="2"/>
  <c r="Q76" i="2"/>
  <c r="T76" i="2"/>
  <c r="P76" i="2"/>
  <c r="R76" i="2"/>
  <c r="O76" i="2"/>
  <c r="S76" i="2"/>
  <c r="M76" i="2"/>
  <c r="T59" i="2"/>
  <c r="Q59" i="2"/>
  <c r="R59" i="2"/>
  <c r="P59" i="2"/>
  <c r="S59" i="2"/>
  <c r="O59" i="2"/>
  <c r="M59" i="2"/>
  <c r="T39" i="2"/>
  <c r="Q39" i="2"/>
  <c r="P39" i="2"/>
  <c r="O39" i="2"/>
  <c r="S39" i="2"/>
  <c r="R39" i="2"/>
  <c r="M39" i="2"/>
  <c r="S41" i="2"/>
  <c r="R41" i="2"/>
  <c r="T41" i="2"/>
  <c r="Q41" i="2"/>
  <c r="P41" i="2"/>
  <c r="O41" i="2"/>
  <c r="M41" i="2"/>
  <c r="P43" i="2"/>
  <c r="Q43" i="2"/>
  <c r="T43" i="2"/>
  <c r="S43" i="2"/>
  <c r="O43" i="2"/>
  <c r="R43" i="2"/>
  <c r="M43" i="2"/>
  <c r="O73" i="2"/>
  <c r="T73" i="2"/>
  <c r="S73" i="2"/>
  <c r="Q73" i="2"/>
  <c r="P73" i="2"/>
  <c r="R73" i="2"/>
  <c r="M73" i="2"/>
  <c r="T27" i="2"/>
  <c r="R27" i="2"/>
  <c r="Q27" i="2"/>
  <c r="P27" i="2"/>
  <c r="O27" i="2"/>
  <c r="M27" i="2"/>
  <c r="S27" i="2"/>
  <c r="T51" i="2"/>
  <c r="S51" i="2"/>
  <c r="P51" i="2"/>
  <c r="M51" i="2"/>
  <c r="O51" i="2"/>
  <c r="R51" i="2"/>
  <c r="Q51" i="2"/>
  <c r="S79" i="2"/>
  <c r="Q79" i="2"/>
  <c r="P79" i="2"/>
  <c r="R79" i="2"/>
  <c r="O79" i="2"/>
  <c r="T79" i="2"/>
  <c r="M79" i="2"/>
  <c r="T93" i="2"/>
  <c r="S93" i="2"/>
  <c r="R93" i="2"/>
  <c r="P93" i="2"/>
  <c r="M93" i="2"/>
  <c r="O93" i="2"/>
  <c r="Q93" i="2"/>
  <c r="T85" i="2"/>
  <c r="S85" i="2"/>
  <c r="O85" i="2"/>
  <c r="P85" i="2"/>
  <c r="M85" i="2"/>
  <c r="R85" i="2"/>
  <c r="Q85" i="2"/>
  <c r="R55" i="2"/>
  <c r="P55" i="2"/>
  <c r="O55" i="2"/>
  <c r="Q55" i="2"/>
  <c r="S55" i="2"/>
  <c r="M55" i="2"/>
  <c r="T55" i="2"/>
  <c r="Q98" i="2"/>
  <c r="O98" i="2"/>
  <c r="T98" i="2"/>
  <c r="P98" i="2"/>
  <c r="R98" i="2"/>
  <c r="S98" i="2"/>
  <c r="M98" i="2"/>
  <c r="T80" i="2"/>
  <c r="S80" i="2"/>
  <c r="R80" i="2"/>
  <c r="O80" i="2"/>
  <c r="Q80" i="2"/>
  <c r="P80" i="2"/>
  <c r="M80" i="2"/>
  <c r="T88" i="2"/>
  <c r="Q88" i="2"/>
  <c r="P88" i="2"/>
  <c r="S88" i="2"/>
  <c r="O88" i="2"/>
  <c r="R88" i="2"/>
  <c r="M88" i="2"/>
  <c r="R65" i="2"/>
  <c r="S65" i="2"/>
  <c r="Q65" i="2"/>
  <c r="O65" i="2"/>
  <c r="P65" i="2"/>
  <c r="T65" i="2"/>
  <c r="M65" i="2"/>
  <c r="Q28" i="2"/>
  <c r="P28" i="2"/>
  <c r="O28" i="2"/>
  <c r="R28" i="2"/>
  <c r="T28" i="2"/>
  <c r="S28" i="2"/>
  <c r="M28" i="2"/>
  <c r="P24" i="2"/>
  <c r="O24" i="2"/>
  <c r="S24" i="2"/>
  <c r="T24" i="2"/>
  <c r="Q24" i="2"/>
  <c r="M24" i="2"/>
  <c r="R24" i="2"/>
  <c r="S54" i="2"/>
  <c r="O54" i="2"/>
  <c r="M54" i="2"/>
  <c r="R54" i="2"/>
  <c r="P54" i="2"/>
  <c r="Q54" i="2"/>
  <c r="T54" i="2"/>
  <c r="T15" i="2"/>
  <c r="S15" i="2"/>
  <c r="Q15" i="2"/>
  <c r="M15" i="2"/>
  <c r="P15" i="2"/>
  <c r="O15" i="2"/>
  <c r="R15" i="2"/>
  <c r="Q52" i="2"/>
  <c r="P52" i="2"/>
  <c r="O52" i="2"/>
  <c r="S52" i="2"/>
  <c r="T52" i="2"/>
  <c r="R52" i="2"/>
  <c r="M52" i="2"/>
  <c r="T48" i="2"/>
  <c r="Q48" i="2"/>
  <c r="P48" i="2"/>
  <c r="R48" i="2"/>
  <c r="O48" i="2"/>
  <c r="S48" i="2"/>
  <c r="M48" i="2"/>
  <c r="R61" i="2"/>
  <c r="P61" i="2"/>
  <c r="O61" i="2"/>
  <c r="T61" i="2"/>
  <c r="Q61" i="2"/>
  <c r="S61" i="2"/>
  <c r="M61" i="2"/>
  <c r="P106" i="2"/>
  <c r="O106" i="2"/>
  <c r="T106" i="2"/>
  <c r="R106" i="2"/>
  <c r="Q106" i="2"/>
  <c r="S106" i="2"/>
  <c r="M106" i="2"/>
  <c r="S91" i="2"/>
  <c r="R91" i="2"/>
  <c r="Q91" i="2"/>
  <c r="T91" i="2"/>
  <c r="O91" i="2"/>
  <c r="P91" i="2"/>
  <c r="M91" i="2"/>
  <c r="T92" i="2"/>
  <c r="R92" i="2"/>
  <c r="Q92" i="2"/>
  <c r="P92" i="2"/>
  <c r="S92" i="2"/>
  <c r="O92" i="2"/>
  <c r="M92" i="2"/>
  <c r="R77" i="2"/>
  <c r="Q77" i="2"/>
  <c r="P77" i="2"/>
  <c r="O77" i="2"/>
  <c r="S77" i="2"/>
  <c r="T77" i="2"/>
  <c r="M77" i="2"/>
  <c r="T112" i="2"/>
  <c r="S112" i="2"/>
  <c r="Q112" i="2"/>
  <c r="R112" i="2"/>
  <c r="P112" i="2"/>
  <c r="O112" i="2"/>
  <c r="M112" i="2"/>
  <c r="P58" i="2"/>
  <c r="O58" i="2"/>
  <c r="R58" i="2"/>
  <c r="S58" i="2"/>
  <c r="T58" i="2"/>
  <c r="Q58" i="2"/>
  <c r="M58" i="2"/>
  <c r="T53" i="2"/>
  <c r="S53" i="2"/>
  <c r="R53" i="2"/>
  <c r="Q53" i="2"/>
  <c r="O53" i="2"/>
  <c r="P53" i="2"/>
  <c r="M53" i="2"/>
  <c r="T72" i="2"/>
  <c r="S72" i="2"/>
  <c r="R72" i="2"/>
  <c r="O72" i="2"/>
  <c r="Q72" i="2"/>
  <c r="M72" i="2"/>
  <c r="P72" i="2"/>
  <c r="R19" i="2"/>
  <c r="P19" i="2"/>
  <c r="O19" i="2"/>
  <c r="T19" i="2"/>
  <c r="S19" i="2"/>
  <c r="Q19" i="2"/>
  <c r="M19" i="2"/>
  <c r="P70" i="2"/>
  <c r="O70" i="2"/>
  <c r="T70" i="2"/>
  <c r="S70" i="2"/>
  <c r="Q70" i="2"/>
  <c r="R70" i="2"/>
  <c r="M70" i="2"/>
  <c r="O38" i="2"/>
  <c r="S38" i="2"/>
  <c r="T38" i="2"/>
  <c r="R38" i="2"/>
  <c r="Q38" i="2"/>
  <c r="P38" i="2"/>
  <c r="M38" i="2"/>
  <c r="S62" i="2"/>
  <c r="R62" i="2"/>
  <c r="O62" i="2"/>
  <c r="T62" i="2"/>
  <c r="Q62" i="2"/>
  <c r="P62" i="2"/>
  <c r="M62" i="2"/>
  <c r="S103" i="2"/>
  <c r="R103" i="2"/>
  <c r="Q103" i="2"/>
  <c r="P103" i="2"/>
  <c r="T103" i="2"/>
  <c r="O103" i="2"/>
  <c r="M103" i="2"/>
  <c r="T89" i="2"/>
  <c r="S89" i="2"/>
  <c r="Q89" i="2"/>
  <c r="O89" i="2"/>
  <c r="R89" i="2"/>
  <c r="M89" i="2"/>
  <c r="P89" i="2"/>
  <c r="Q34" i="2"/>
  <c r="R34" i="2"/>
  <c r="S34" i="2"/>
  <c r="T34" i="2"/>
  <c r="M34" i="2"/>
  <c r="P34" i="2"/>
  <c r="O34" i="2"/>
  <c r="T44" i="2"/>
  <c r="S44" i="2"/>
  <c r="P44" i="2"/>
  <c r="Q44" i="2"/>
  <c r="R44" i="2"/>
  <c r="O44" i="2"/>
  <c r="M44" i="2"/>
  <c r="R83" i="2"/>
  <c r="Q83" i="2"/>
  <c r="P83" i="2"/>
  <c r="O83" i="2"/>
  <c r="T83" i="2"/>
  <c r="S83" i="2"/>
  <c r="M83" i="2"/>
  <c r="R74" i="2"/>
  <c r="Q74" i="2"/>
  <c r="O74" i="2"/>
  <c r="T74" i="2"/>
  <c r="P74" i="2"/>
  <c r="S74" i="2"/>
  <c r="M74" i="2"/>
  <c r="Q46" i="2"/>
  <c r="P46" i="2"/>
  <c r="O46" i="2"/>
  <c r="R46" i="2"/>
  <c r="S46" i="2"/>
  <c r="T46" i="2"/>
  <c r="M46" i="2"/>
  <c r="S26" i="2"/>
  <c r="Q26" i="2"/>
  <c r="R26" i="2"/>
  <c r="P26" i="2"/>
  <c r="O26" i="2"/>
  <c r="T26" i="2"/>
  <c r="M26" i="2"/>
  <c r="S78" i="2"/>
  <c r="R78" i="2"/>
  <c r="Q78" i="2"/>
  <c r="M78" i="2"/>
  <c r="P78" i="2"/>
  <c r="O78" i="2"/>
  <c r="T78" i="2"/>
  <c r="O16" i="2"/>
  <c r="S16" i="2"/>
  <c r="P16" i="2"/>
  <c r="T16" i="2"/>
  <c r="Q16" i="2"/>
  <c r="R16" i="2"/>
  <c r="M16" i="2"/>
  <c r="P35" i="2"/>
  <c r="R35" i="2"/>
  <c r="T35" i="2"/>
  <c r="O35" i="2"/>
  <c r="S35" i="2"/>
  <c r="Q35" i="2"/>
  <c r="M35" i="2"/>
  <c r="T86" i="2"/>
  <c r="S86" i="2"/>
  <c r="R86" i="2"/>
  <c r="Q86" i="2"/>
  <c r="O86" i="2"/>
  <c r="P86" i="2"/>
  <c r="M86" i="2"/>
  <c r="O47" i="2"/>
  <c r="R47" i="2"/>
  <c r="T47" i="2"/>
  <c r="S47" i="2"/>
  <c r="P47" i="2"/>
  <c r="Q47" i="2"/>
  <c r="M47" i="2"/>
  <c r="R71" i="2"/>
  <c r="Q71" i="2"/>
  <c r="S71" i="2"/>
  <c r="P71" i="2"/>
  <c r="T71" i="2"/>
  <c r="O71" i="2"/>
  <c r="M71" i="2"/>
  <c r="T81" i="2"/>
  <c r="S81" i="2"/>
  <c r="P81" i="2"/>
  <c r="O81" i="2"/>
  <c r="R81" i="2"/>
  <c r="Q81" i="2"/>
  <c r="M81" i="2"/>
  <c r="S101" i="2"/>
  <c r="Q101" i="2"/>
  <c r="P101" i="2"/>
  <c r="O101" i="2"/>
  <c r="R101" i="2"/>
  <c r="M101" i="2"/>
  <c r="T101" i="2"/>
  <c r="T110" i="2"/>
  <c r="R110" i="2"/>
  <c r="Q110" i="2"/>
  <c r="O110" i="2"/>
  <c r="S110" i="2"/>
  <c r="P110" i="2"/>
  <c r="M110" i="2"/>
  <c r="O50" i="2"/>
  <c r="T50" i="2"/>
  <c r="R50" i="2"/>
  <c r="S50" i="2"/>
  <c r="Q50" i="2"/>
  <c r="P50" i="2"/>
  <c r="M50" i="2"/>
  <c r="S68" i="2"/>
  <c r="R68" i="2"/>
  <c r="P68" i="2"/>
  <c r="Q68" i="2"/>
  <c r="O68" i="2"/>
  <c r="T68" i="2"/>
  <c r="M68" i="2"/>
  <c r="S30" i="2"/>
  <c r="Q30" i="2"/>
  <c r="R30" i="2"/>
  <c r="O30" i="2"/>
  <c r="P30" i="2"/>
  <c r="T30" i="2"/>
  <c r="M30" i="2"/>
  <c r="T100" i="2"/>
  <c r="S100" i="2"/>
  <c r="Q100" i="2"/>
  <c r="O100" i="2"/>
  <c r="M100" i="2"/>
  <c r="P100" i="2"/>
  <c r="R100" i="2"/>
  <c r="T109" i="2"/>
  <c r="S109" i="2"/>
  <c r="Q109" i="2"/>
  <c r="M109" i="2"/>
  <c r="R109" i="2"/>
  <c r="O109" i="2"/>
  <c r="P109" i="2"/>
  <c r="S66" i="2"/>
  <c r="R66" i="2"/>
  <c r="M66" i="2"/>
  <c r="O66" i="2"/>
  <c r="P66" i="2"/>
  <c r="Q66" i="2"/>
  <c r="T66" i="2"/>
  <c r="R94" i="2"/>
  <c r="P94" i="2"/>
  <c r="O94" i="2"/>
  <c r="Q94" i="2"/>
  <c r="S94" i="2"/>
  <c r="T94" i="2"/>
  <c r="M94" i="2"/>
  <c r="T56" i="2"/>
  <c r="S56" i="2"/>
  <c r="P56" i="2"/>
  <c r="O56" i="2"/>
  <c r="Q56" i="2"/>
  <c r="R56" i="2"/>
  <c r="M56" i="2"/>
  <c r="T84" i="2"/>
  <c r="R84" i="2"/>
  <c r="Q84" i="2"/>
  <c r="O84" i="2"/>
  <c r="S84" i="2"/>
  <c r="P84" i="2"/>
  <c r="M84" i="2"/>
  <c r="T96" i="2"/>
  <c r="R96" i="2"/>
  <c r="Q96" i="2"/>
  <c r="P96" i="2"/>
  <c r="O96" i="2"/>
  <c r="M96" i="2"/>
  <c r="S96" i="2"/>
  <c r="S90" i="2"/>
  <c r="R90" i="2"/>
  <c r="Q90" i="2"/>
  <c r="P90" i="2"/>
  <c r="O90" i="2"/>
  <c r="T90" i="2"/>
  <c r="M90" i="2"/>
  <c r="T37" i="2"/>
  <c r="R37" i="2"/>
  <c r="Q37" i="2"/>
  <c r="O37" i="2"/>
  <c r="S37" i="2"/>
  <c r="P37" i="2"/>
  <c r="M37" i="2"/>
  <c r="T57" i="2"/>
  <c r="S57" i="2"/>
  <c r="P57" i="2"/>
  <c r="O57" i="2"/>
  <c r="Q57" i="2"/>
  <c r="R57" i="2"/>
  <c r="M57" i="2"/>
  <c r="S63" i="2"/>
  <c r="R63" i="2"/>
  <c r="O63" i="2"/>
  <c r="M63" i="2"/>
  <c r="Q63" i="2"/>
  <c r="T63" i="2"/>
  <c r="P63" i="2"/>
  <c r="T60" i="2"/>
  <c r="S60" i="2"/>
  <c r="P60" i="2"/>
  <c r="O60" i="2"/>
  <c r="M60" i="2"/>
  <c r="R60" i="2"/>
  <c r="Q60" i="2"/>
  <c r="T22" i="2"/>
  <c r="P22" i="2"/>
  <c r="Q22" i="2"/>
  <c r="O22" i="2"/>
  <c r="M22" i="2"/>
  <c r="R22" i="2"/>
  <c r="S22" i="2"/>
  <c r="T97" i="2"/>
  <c r="S97" i="2"/>
  <c r="R97" i="2"/>
  <c r="Q97" i="2"/>
  <c r="P97" i="2"/>
  <c r="M97" i="2"/>
  <c r="O97" i="2"/>
  <c r="Q23" i="2"/>
  <c r="S23" i="2"/>
  <c r="P23" i="2"/>
  <c r="O23" i="2"/>
  <c r="R23" i="2"/>
  <c r="M23" i="2"/>
  <c r="T23" i="2"/>
  <c r="S32" i="2"/>
  <c r="O32" i="2"/>
  <c r="Q32" i="2"/>
  <c r="T32" i="2"/>
  <c r="R32" i="2"/>
  <c r="P32" i="2"/>
  <c r="M32" i="2"/>
  <c r="O87" i="2"/>
  <c r="T87" i="2"/>
  <c r="S87" i="2"/>
  <c r="Q87" i="2"/>
  <c r="P87" i="2"/>
  <c r="R87" i="2"/>
  <c r="M87" i="2"/>
  <c r="O99" i="2"/>
  <c r="S99" i="2"/>
  <c r="R99" i="2"/>
  <c r="Q99" i="2"/>
  <c r="T99" i="2"/>
  <c r="P99" i="2"/>
  <c r="M99" i="2"/>
  <c r="T108" i="2"/>
  <c r="R108" i="2"/>
  <c r="Q108" i="2"/>
  <c r="P108" i="2"/>
  <c r="O108" i="2"/>
  <c r="S108" i="2"/>
  <c r="M108" i="2"/>
  <c r="P102" i="2"/>
  <c r="O102" i="2"/>
  <c r="S102" i="2"/>
  <c r="R102" i="2"/>
  <c r="T102" i="2"/>
  <c r="Q102" i="2"/>
  <c r="M102" i="2"/>
  <c r="R67" i="2"/>
  <c r="T67" i="2"/>
  <c r="P67" i="2"/>
  <c r="Q67" i="2"/>
  <c r="S67" i="2"/>
  <c r="O67" i="2"/>
  <c r="M67" i="2"/>
  <c r="T49" i="2"/>
  <c r="S49" i="2"/>
  <c r="Q49" i="2"/>
  <c r="P49" i="2"/>
  <c r="R49" i="2"/>
  <c r="O49" i="2"/>
  <c r="M49" i="2"/>
  <c r="O29" i="2"/>
  <c r="T29" i="2"/>
  <c r="S29" i="2"/>
  <c r="P29" i="2"/>
  <c r="Q29" i="2"/>
  <c r="R29" i="2"/>
  <c r="M29" i="2"/>
  <c r="S25" i="2"/>
  <c r="Q25" i="2"/>
  <c r="R25" i="2"/>
  <c r="P25" i="2"/>
  <c r="O25" i="2"/>
  <c r="T25" i="2"/>
  <c r="M25" i="2"/>
  <c r="T45" i="2"/>
  <c r="P45" i="2"/>
  <c r="O45" i="2"/>
  <c r="M45" i="2"/>
  <c r="R45" i="2"/>
  <c r="Q45" i="2"/>
  <c r="S45" i="2"/>
  <c r="S75" i="2"/>
  <c r="R75" i="2"/>
  <c r="Q75" i="2"/>
  <c r="M75" i="2"/>
  <c r="O75" i="2"/>
  <c r="P75" i="2"/>
  <c r="T75" i="2"/>
  <c r="T69" i="2"/>
  <c r="S69" i="2"/>
  <c r="R69" i="2"/>
  <c r="P69" i="2"/>
  <c r="M69" i="2"/>
  <c r="O69" i="2"/>
  <c r="Q69" i="2"/>
  <c r="T82" i="2"/>
  <c r="S82" i="2"/>
  <c r="R82" i="2"/>
  <c r="P82" i="2"/>
  <c r="O82" i="2"/>
  <c r="Q82" i="2"/>
  <c r="M82" i="2"/>
  <c r="T104" i="2"/>
  <c r="S104" i="2"/>
  <c r="R104" i="2"/>
  <c r="P104" i="2"/>
  <c r="O104" i="2"/>
  <c r="Q104" i="2"/>
  <c r="M104" i="2"/>
  <c r="T21" i="2"/>
  <c r="R21" i="2"/>
  <c r="Q21" i="2"/>
  <c r="S21" i="2"/>
  <c r="P21" i="2"/>
  <c r="O21" i="2"/>
  <c r="M21" i="2"/>
  <c r="S17" i="2"/>
  <c r="P17" i="2"/>
  <c r="R17" i="2"/>
  <c r="O17" i="2"/>
  <c r="T17" i="2"/>
  <c r="Q17" i="2"/>
  <c r="M17" i="2"/>
  <c r="L115" i="2"/>
  <c r="K119" i="2" s="1"/>
  <c r="R11" i="1" s="1"/>
  <c r="L114" i="2"/>
  <c r="E119" i="2" s="1"/>
  <c r="R13" i="2"/>
  <c r="O13" i="2"/>
  <c r="T13" i="2"/>
  <c r="P13" i="2"/>
  <c r="S13" i="2"/>
  <c r="Q13" i="2"/>
  <c r="M13" i="2"/>
  <c r="Q31" i="2"/>
  <c r="R31" i="2"/>
  <c r="T31" i="2"/>
  <c r="S31" i="2"/>
  <c r="P31" i="2"/>
  <c r="O31" i="2"/>
  <c r="M31" i="2"/>
  <c r="Q40" i="2"/>
  <c r="P40" i="2"/>
  <c r="S40" i="2"/>
  <c r="R40" i="2"/>
  <c r="T40" i="2"/>
  <c r="O40" i="2"/>
  <c r="M40" i="2"/>
  <c r="Q64" i="2"/>
  <c r="O64" i="2"/>
  <c r="T64" i="2"/>
  <c r="S64" i="2"/>
  <c r="R64" i="2"/>
  <c r="P64" i="2"/>
  <c r="M64" i="2"/>
  <c r="O95" i="2"/>
  <c r="T95" i="2"/>
  <c r="R95" i="2"/>
  <c r="Q95" i="2"/>
  <c r="S95" i="2"/>
  <c r="P95" i="2"/>
  <c r="M95" i="2"/>
  <c r="O107" i="2"/>
  <c r="T107" i="2"/>
  <c r="R107" i="2"/>
  <c r="Q107" i="2"/>
  <c r="S107" i="2"/>
  <c r="P107" i="2"/>
  <c r="M107" i="2"/>
  <c r="M114" i="2" l="1"/>
  <c r="E118" i="2" s="1"/>
  <c r="M115" i="2"/>
  <c r="H119" i="2" s="1"/>
  <c r="Q11" i="1" s="1"/>
  <c r="Q114" i="2"/>
  <c r="S114" i="2"/>
  <c r="P114" i="2"/>
  <c r="T114" i="2"/>
  <c r="O114" i="2"/>
  <c r="R114" i="2"/>
</calcChain>
</file>

<file path=xl/sharedStrings.xml><?xml version="1.0" encoding="utf-8"?>
<sst xmlns="http://schemas.openxmlformats.org/spreadsheetml/2006/main" count="191" uniqueCount="73">
  <si>
    <t xml:space="preserve">Construction Management Institute 
Addis Ababa University - Construction Productivity Research Group </t>
  </si>
  <si>
    <t xml:space="preserve"> PREPARATION OF NATIONAL PRODUCTIVITY NORM FOR WATER CONSTRUCTION TRADE</t>
  </si>
  <si>
    <t xml:space="preserve">Dozer Productivity Data Collection Form </t>
  </si>
  <si>
    <t>Form - 1</t>
  </si>
  <si>
    <t xml:space="preserve">Project Code: </t>
  </si>
  <si>
    <t>Number of Equipment Types:</t>
  </si>
  <si>
    <t>Date:</t>
  </si>
  <si>
    <t>05/06/2017E.C</t>
  </si>
  <si>
    <t>Rudolf derbie</t>
  </si>
  <si>
    <t>Equipment Tag</t>
  </si>
  <si>
    <t>Manpower (Foreman, Operator, Helper, Laborers, etc.)</t>
  </si>
  <si>
    <t>Blade Type (S, U, SU, C)</t>
  </si>
  <si>
    <t xml:space="preserve">Task Type </t>
  </si>
  <si>
    <t>Description</t>
  </si>
  <si>
    <t>Soil Type</t>
  </si>
  <si>
    <t xml:space="preserve">Blade Measurement </t>
  </si>
  <si>
    <t>Unit</t>
  </si>
  <si>
    <t>Blade Load</t>
  </si>
  <si>
    <t>Cycle Time (seconds)</t>
  </si>
  <si>
    <t>Productivity (m3/hr)</t>
  </si>
  <si>
    <t>Ideal Productivity (m3/hr)</t>
  </si>
  <si>
    <t>Overall Method Productivity (m3/hr)</t>
  </si>
  <si>
    <t>Ideal Cycle Variability (%)</t>
  </si>
  <si>
    <t>Overall Cycle Vairability (%)</t>
  </si>
  <si>
    <t>H</t>
  </si>
  <si>
    <t>W</t>
  </si>
  <si>
    <t>L</t>
  </si>
  <si>
    <t>1/10 forman,1 oprater,1 helper</t>
  </si>
  <si>
    <t>SU</t>
  </si>
  <si>
    <t>zoned rock fill</t>
  </si>
  <si>
    <t>clay and gravel</t>
  </si>
  <si>
    <t>m</t>
  </si>
  <si>
    <t>Average</t>
  </si>
  <si>
    <t xml:space="preserve">Construction Management Institute </t>
  </si>
  <si>
    <t xml:space="preserve">MPDM Data Collection Form </t>
  </si>
  <si>
    <t>Form -3</t>
  </si>
  <si>
    <t>Project Code:</t>
  </si>
  <si>
    <t>Operation/Activity:</t>
  </si>
  <si>
    <t>Unit of Time:</t>
  </si>
  <si>
    <t>Seconds</t>
  </si>
  <si>
    <t>Equipment Type: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</si>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</sst>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9" fontId="2" fillId="0" borderId="0"/>
    <xf numFmtId="43" fontId="6" fillId="0" borderId="0"/>
  </cellStyleXfs>
  <cellXfs count="56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6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7" borderId="10" xfId="1" applyFont="1" applyFill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0" fontId="3" fillId="7" borderId="12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2" fontId="3" fillId="0" borderId="11" xfId="1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/>
    </xf>
    <xf numFmtId="2" fontId="3" fillId="6" borderId="10" xfId="1" applyNumberFormat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0" xfId="2" applyNumberFormat="1" applyFont="1" applyFill="1" applyBorder="1" applyAlignment="1">
      <alignment horizontal="center" vertical="center"/>
    </xf>
    <xf numFmtId="9" fontId="1" fillId="6" borderId="10" xfId="2" applyFont="1" applyFill="1" applyBorder="1" applyAlignment="1">
      <alignment horizontal="center" vertical="center"/>
    </xf>
    <xf numFmtId="2" fontId="3" fillId="6" borderId="5" xfId="1" applyNumberFormat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vertical="center"/>
    </xf>
    <xf numFmtId="43" fontId="3" fillId="7" borderId="6" xfId="3" applyFont="1" applyFill="1" applyBorder="1" applyAlignment="1">
      <alignment horizontal="center" vertical="center"/>
    </xf>
    <xf numFmtId="43" fontId="3" fillId="7" borderId="12" xfId="3" applyFont="1" applyFill="1" applyBorder="1" applyAlignment="1">
      <alignment horizontal="center" vertical="center"/>
    </xf>
    <xf numFmtId="0" fontId="3" fillId="6" borderId="14" xfId="1" applyFont="1" applyFill="1" applyBorder="1" applyAlignment="1">
      <alignment horizontal="center" vertical="center"/>
    </xf>
    <xf numFmtId="0" fontId="0" fillId="0" borderId="15" xfId="0" applyBorder="1"/>
    <xf numFmtId="0" fontId="1" fillId="5" borderId="4" xfId="1" applyFont="1" applyFill="1" applyBorder="1" applyAlignment="1">
      <alignment horizontal="center" vertical="center" wrapText="1"/>
    </xf>
    <xf numFmtId="0" fontId="0" fillId="0" borderId="9" xfId="0" applyBorder="1"/>
    <xf numFmtId="0" fontId="4" fillId="0" borderId="0" xfId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1" fillId="3" borderId="4" xfId="1" applyFont="1" applyFill="1" applyBorder="1" applyAlignment="1">
      <alignment horizontal="center" vertical="center"/>
    </xf>
    <xf numFmtId="0" fontId="0" fillId="0" borderId="1" xfId="0" applyBorder="1"/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0" fillId="0" borderId="8" xfId="0" applyBorder="1"/>
    <xf numFmtId="0" fontId="1" fillId="2" borderId="4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11"/>
  <sheetViews>
    <sheetView tabSelected="1" view="pageBreakPreview" zoomScale="60" zoomScaleNormal="60" zoomScalePageLayoutView="60" workbookViewId="0">
      <selection activeCell="L11" sqref="L11:L110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14.42578125" style="1" customWidth="1"/>
    <col min="10" max="10" width="16.42578125" style="1" customWidth="1"/>
    <col min="11" max="11" width="10.140625" style="1" customWidth="1"/>
    <col min="12" max="14" width="17.140625" style="1" customWidth="1"/>
    <col min="15" max="15" width="16.42578125" style="1" customWidth="1"/>
    <col min="16" max="16" width="15.85546875" style="1" customWidth="1"/>
    <col min="17" max="17" width="16.140625" style="1" customWidth="1"/>
    <col min="18" max="18" width="15.28515625" style="1" customWidth="1"/>
    <col min="19" max="19" width="9.140625" style="1" customWidth="1"/>
    <col min="20" max="16384" width="9.140625" style="1"/>
  </cols>
  <sheetData>
    <row r="1" spans="2:18" ht="108.95" customHeight="1" x14ac:dyDescent="0.2">
      <c r="B1" s="52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2:18" ht="27" customHeight="1" x14ac:dyDescent="0.2">
      <c r="B2" s="51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2:18" ht="27" customHeight="1" x14ac:dyDescent="0.2">
      <c r="B3" s="50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8" x14ac:dyDescent="0.2">
      <c r="B4" s="46" t="s">
        <v>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2:18" ht="16.5" customHeight="1" thickBot="1" x14ac:dyDescent="0.25"/>
    <row r="6" spans="2:18" ht="27" customHeight="1" thickBot="1" x14ac:dyDescent="0.25">
      <c r="B6" s="10" t="s">
        <v>4</v>
      </c>
      <c r="C6" s="10"/>
      <c r="D6" s="11"/>
      <c r="G6" s="48" t="s">
        <v>5</v>
      </c>
      <c r="H6" s="49"/>
      <c r="I6" s="2"/>
      <c r="K6" s="3" t="s">
        <v>6</v>
      </c>
      <c r="L6" s="4" t="s">
        <v>7</v>
      </c>
      <c r="M6" s="4">
        <v>1</v>
      </c>
      <c r="N6" s="4" t="s">
        <v>8</v>
      </c>
      <c r="O6">
        <v>1</v>
      </c>
    </row>
    <row r="7" spans="2:18" ht="27" customHeight="1" x14ac:dyDescent="0.2"/>
    <row r="8" spans="2:18" ht="15" customHeight="1" thickBot="1" x14ac:dyDescent="0.25">
      <c r="B8" s="5"/>
      <c r="C8" s="5"/>
      <c r="D8" s="5"/>
      <c r="E8" s="5"/>
      <c r="F8" s="5"/>
      <c r="G8" s="5"/>
      <c r="L8" s="5"/>
      <c r="M8" s="5"/>
      <c r="N8" s="5"/>
    </row>
    <row r="9" spans="2:18" ht="32.25" customHeight="1" thickBot="1" x14ac:dyDescent="0.25">
      <c r="B9" s="44" t="s">
        <v>9</v>
      </c>
      <c r="C9" s="44" t="s">
        <v>10</v>
      </c>
      <c r="D9" s="44" t="s">
        <v>11</v>
      </c>
      <c r="E9" s="44" t="s">
        <v>12</v>
      </c>
      <c r="F9" s="44" t="s">
        <v>13</v>
      </c>
      <c r="G9" s="44" t="s">
        <v>14</v>
      </c>
      <c r="H9" s="44" t="s">
        <v>15</v>
      </c>
      <c r="I9" s="53"/>
      <c r="J9" s="49"/>
      <c r="K9" s="44" t="s">
        <v>16</v>
      </c>
      <c r="L9" s="44" t="s">
        <v>17</v>
      </c>
      <c r="M9" s="44" t="s">
        <v>18</v>
      </c>
      <c r="N9" s="44" t="s">
        <v>19</v>
      </c>
      <c r="O9" s="44" t="s">
        <v>20</v>
      </c>
      <c r="P9" s="44" t="s">
        <v>21</v>
      </c>
      <c r="Q9" s="44" t="s">
        <v>22</v>
      </c>
      <c r="R9" s="44" t="s">
        <v>23</v>
      </c>
    </row>
    <row r="10" spans="2:18" ht="42.75" customHeight="1" thickBot="1" x14ac:dyDescent="0.25">
      <c r="B10" s="45"/>
      <c r="C10" s="45"/>
      <c r="D10" s="45"/>
      <c r="E10" s="45"/>
      <c r="F10" s="45"/>
      <c r="G10" s="45"/>
      <c r="H10" s="6" t="s">
        <v>24</v>
      </c>
      <c r="I10" s="6" t="s">
        <v>25</v>
      </c>
      <c r="J10" s="6" t="s">
        <v>26</v>
      </c>
      <c r="K10" s="45"/>
      <c r="L10" s="45"/>
      <c r="M10" s="45"/>
      <c r="N10" s="45"/>
      <c r="O10" s="45"/>
      <c r="P10" s="45"/>
      <c r="Q10" s="45"/>
      <c r="R10" s="45"/>
    </row>
    <row r="11" spans="2:18" ht="33" customHeight="1" x14ac:dyDescent="0.2">
      <c r="B11" s="7">
        <v>1</v>
      </c>
      <c r="C11" s="7" t="s">
        <v>27</v>
      </c>
      <c r="D11" s="7" t="s">
        <v>28</v>
      </c>
      <c r="E11" s="7" t="s">
        <v>29</v>
      </c>
      <c r="F11" s="7"/>
      <c r="G11" s="7" t="s">
        <v>30</v>
      </c>
      <c r="H11" s="7">
        <v>1.3</v>
      </c>
      <c r="I11" s="7">
        <v>0.6</v>
      </c>
      <c r="J11" s="7">
        <v>3.8</v>
      </c>
      <c r="K11" s="7" t="s">
        <v>31</v>
      </c>
      <c r="L11" s="7">
        <f t="shared" ref="L11:L42" si="0">H11*I11*J11</f>
        <v>2.964</v>
      </c>
      <c r="M11" s="7">
        <v>82</v>
      </c>
      <c r="N11" s="7">
        <f t="shared" ref="N11:N42" si="1">L11*3600/M11*0.764555</f>
        <v>99.489117951219512</v>
      </c>
      <c r="O11" s="38">
        <f>'MPDM 1'!H118</f>
        <v>41.034993730764846</v>
      </c>
      <c r="P11" s="38">
        <f>'MPDM 1'!K118*L11</f>
        <v>121.627721417987</v>
      </c>
      <c r="Q11" s="39">
        <f>'MPDM 1'!H119*L11</f>
        <v>0.84884662487176554</v>
      </c>
      <c r="R11" s="39">
        <f>'MPDM 1'!K119</f>
        <v>0.28638550096888177</v>
      </c>
    </row>
    <row r="12" spans="2:18" ht="33" customHeight="1" x14ac:dyDescent="0.2">
      <c r="B12" s="8">
        <v>2</v>
      </c>
      <c r="C12" s="8"/>
      <c r="D12" s="8"/>
      <c r="E12" s="8"/>
      <c r="F12" s="8"/>
      <c r="G12" s="8" t="s">
        <v>30</v>
      </c>
      <c r="H12" s="8">
        <v>1.3</v>
      </c>
      <c r="I12" s="8">
        <v>0.6</v>
      </c>
      <c r="J12" s="8">
        <v>3.8</v>
      </c>
      <c r="K12" s="8"/>
      <c r="L12" s="8">
        <f t="shared" si="0"/>
        <v>2.964</v>
      </c>
      <c r="M12" s="8">
        <v>94</v>
      </c>
      <c r="N12" s="8">
        <f t="shared" si="1"/>
        <v>86.788379489361702</v>
      </c>
      <c r="O12" s="8"/>
      <c r="P12" s="8"/>
      <c r="Q12" s="8"/>
      <c r="R12" s="8"/>
    </row>
    <row r="13" spans="2:18" ht="33" customHeight="1" x14ac:dyDescent="0.2">
      <c r="B13" s="8">
        <v>3</v>
      </c>
      <c r="C13" s="8"/>
      <c r="D13" s="8"/>
      <c r="E13" s="8"/>
      <c r="F13" s="8"/>
      <c r="G13" s="8" t="s">
        <v>30</v>
      </c>
      <c r="H13" s="8">
        <v>1.3</v>
      </c>
      <c r="I13" s="8">
        <v>0.6</v>
      </c>
      <c r="J13" s="8">
        <v>3.8</v>
      </c>
      <c r="K13" s="8"/>
      <c r="L13" s="8">
        <f t="shared" si="0"/>
        <v>2.964</v>
      </c>
      <c r="M13" s="8">
        <v>103</v>
      </c>
      <c r="N13" s="8">
        <f t="shared" si="1"/>
        <v>79.20492885436893</v>
      </c>
      <c r="O13" s="8"/>
      <c r="P13" s="8"/>
      <c r="Q13" s="8"/>
      <c r="R13" s="8"/>
    </row>
    <row r="14" spans="2:18" ht="33" customHeight="1" x14ac:dyDescent="0.2">
      <c r="B14" s="8">
        <v>4</v>
      </c>
      <c r="C14" s="8"/>
      <c r="D14" s="8"/>
      <c r="E14" s="8"/>
      <c r="F14" s="8"/>
      <c r="G14" s="8" t="s">
        <v>30</v>
      </c>
      <c r="H14" s="8">
        <v>1.3</v>
      </c>
      <c r="I14" s="8">
        <v>0.6</v>
      </c>
      <c r="J14" s="8">
        <v>3.8</v>
      </c>
      <c r="K14" s="8"/>
      <c r="L14" s="8">
        <f t="shared" si="0"/>
        <v>2.964</v>
      </c>
      <c r="M14" s="8">
        <v>116</v>
      </c>
      <c r="N14" s="8">
        <f t="shared" si="1"/>
        <v>70.328514413793101</v>
      </c>
      <c r="O14" s="8"/>
      <c r="P14" s="8"/>
      <c r="Q14" s="8"/>
      <c r="R14" s="8"/>
    </row>
    <row r="15" spans="2:18" ht="33" customHeight="1" thickBot="1" x14ac:dyDescent="0.25">
      <c r="B15" s="9">
        <v>5</v>
      </c>
      <c r="C15" s="9"/>
      <c r="D15" s="9"/>
      <c r="E15" s="9"/>
      <c r="F15" s="9"/>
      <c r="G15" s="9" t="s">
        <v>30</v>
      </c>
      <c r="H15" s="9">
        <v>1.3</v>
      </c>
      <c r="I15" s="9">
        <v>0.6</v>
      </c>
      <c r="J15" s="9">
        <v>3.8</v>
      </c>
      <c r="K15" s="9"/>
      <c r="L15" s="8">
        <f t="shared" si="0"/>
        <v>2.964</v>
      </c>
      <c r="M15" s="9">
        <v>94</v>
      </c>
      <c r="N15" s="9">
        <f t="shared" si="1"/>
        <v>86.788379489361702</v>
      </c>
      <c r="O15" s="9"/>
      <c r="P15" s="9"/>
      <c r="Q15" s="9"/>
      <c r="R15" s="9"/>
    </row>
    <row r="16" spans="2:18" ht="33" customHeight="1" x14ac:dyDescent="0.2">
      <c r="B16" s="7">
        <v>6</v>
      </c>
      <c r="C16" s="7"/>
      <c r="D16" s="7"/>
      <c r="E16" s="7"/>
      <c r="F16" s="7"/>
      <c r="G16" s="7" t="s">
        <v>30</v>
      </c>
      <c r="H16" s="7">
        <v>1.3</v>
      </c>
      <c r="I16" s="7">
        <v>0.6</v>
      </c>
      <c r="J16" s="7">
        <v>3.8</v>
      </c>
      <c r="K16" s="7"/>
      <c r="L16" s="7">
        <f t="shared" si="0"/>
        <v>2.964</v>
      </c>
      <c r="M16" s="7">
        <v>49</v>
      </c>
      <c r="N16" s="7">
        <f t="shared" si="1"/>
        <v>166.49199330612242</v>
      </c>
      <c r="O16" s="7"/>
      <c r="P16" s="7"/>
      <c r="Q16" s="7"/>
      <c r="R16" s="7"/>
    </row>
    <row r="17" spans="2:18" ht="33" customHeight="1" x14ac:dyDescent="0.2">
      <c r="B17" s="8">
        <v>7</v>
      </c>
      <c r="C17" s="8"/>
      <c r="D17" s="8"/>
      <c r="E17" s="8"/>
      <c r="F17" s="8"/>
      <c r="G17" s="8" t="s">
        <v>30</v>
      </c>
      <c r="H17" s="8">
        <v>1.3</v>
      </c>
      <c r="I17" s="8">
        <v>0.6</v>
      </c>
      <c r="J17" s="8">
        <v>3.8</v>
      </c>
      <c r="K17" s="8"/>
      <c r="L17" s="8">
        <f t="shared" si="0"/>
        <v>2.964</v>
      </c>
      <c r="M17" s="8">
        <v>131</v>
      </c>
      <c r="N17" s="8">
        <f t="shared" si="1"/>
        <v>62.275631083969465</v>
      </c>
      <c r="O17" s="8"/>
      <c r="P17" s="8"/>
      <c r="Q17" s="8"/>
      <c r="R17" s="8"/>
    </row>
    <row r="18" spans="2:18" ht="33" customHeight="1" x14ac:dyDescent="0.2">
      <c r="B18" s="8">
        <v>8</v>
      </c>
      <c r="C18" s="8"/>
      <c r="D18" s="8"/>
      <c r="E18" s="8"/>
      <c r="F18" s="8"/>
      <c r="G18" s="8" t="s">
        <v>30</v>
      </c>
      <c r="H18" s="8">
        <v>1.3</v>
      </c>
      <c r="I18" s="8">
        <v>0.6</v>
      </c>
      <c r="J18" s="8">
        <v>3.8</v>
      </c>
      <c r="K18" s="8"/>
      <c r="L18" s="8">
        <f t="shared" si="0"/>
        <v>2.964</v>
      </c>
      <c r="M18" s="8">
        <v>134</v>
      </c>
      <c r="N18" s="8">
        <f t="shared" si="1"/>
        <v>60.881400537313432</v>
      </c>
      <c r="O18" s="8"/>
      <c r="P18" s="8"/>
      <c r="Q18" s="8"/>
      <c r="R18" s="8"/>
    </row>
    <row r="19" spans="2:18" ht="33" customHeight="1" x14ac:dyDescent="0.2">
      <c r="B19" s="8">
        <v>9</v>
      </c>
      <c r="C19" s="8"/>
      <c r="D19" s="8"/>
      <c r="E19" s="8"/>
      <c r="F19" s="8"/>
      <c r="G19" s="8" t="s">
        <v>30</v>
      </c>
      <c r="H19" s="8">
        <v>1.3</v>
      </c>
      <c r="I19" s="8">
        <v>0.6</v>
      </c>
      <c r="J19" s="8">
        <v>3.8</v>
      </c>
      <c r="K19" s="8"/>
      <c r="L19" s="8">
        <f t="shared" si="0"/>
        <v>2.964</v>
      </c>
      <c r="M19" s="8">
        <v>140</v>
      </c>
      <c r="N19" s="8">
        <f t="shared" si="1"/>
        <v>58.272197657142861</v>
      </c>
      <c r="O19" s="8"/>
      <c r="P19" s="8"/>
      <c r="Q19" s="8"/>
      <c r="R19" s="8"/>
    </row>
    <row r="20" spans="2:18" ht="33" customHeight="1" thickBot="1" x14ac:dyDescent="0.25">
      <c r="B20" s="9">
        <v>10</v>
      </c>
      <c r="C20" s="9"/>
      <c r="D20" s="9"/>
      <c r="E20" s="9"/>
      <c r="F20" s="9"/>
      <c r="G20" s="9" t="s">
        <v>30</v>
      </c>
      <c r="H20" s="9">
        <v>1.3</v>
      </c>
      <c r="I20" s="9">
        <v>0.6</v>
      </c>
      <c r="J20" s="9">
        <v>3.8</v>
      </c>
      <c r="K20" s="9"/>
      <c r="L20" s="8">
        <f t="shared" si="0"/>
        <v>2.964</v>
      </c>
      <c r="M20" s="9">
        <v>53</v>
      </c>
      <c r="N20" s="9">
        <f t="shared" si="1"/>
        <v>153.92655984905659</v>
      </c>
      <c r="O20" s="9"/>
      <c r="P20" s="9"/>
      <c r="Q20" s="9"/>
      <c r="R20" s="9"/>
    </row>
    <row r="21" spans="2:18" x14ac:dyDescent="0.2">
      <c r="B21" s="7">
        <v>11</v>
      </c>
      <c r="C21" s="7"/>
      <c r="D21" s="7"/>
      <c r="E21" s="7"/>
      <c r="F21" s="7"/>
      <c r="G21" s="7" t="s">
        <v>30</v>
      </c>
      <c r="H21" s="7">
        <v>1.3</v>
      </c>
      <c r="I21" s="7">
        <v>0.6</v>
      </c>
      <c r="J21" s="7">
        <v>3.8</v>
      </c>
      <c r="K21" s="7"/>
      <c r="L21" s="7">
        <f t="shared" si="0"/>
        <v>2.964</v>
      </c>
      <c r="M21" s="7">
        <v>97</v>
      </c>
      <c r="N21" s="7">
        <f t="shared" si="1"/>
        <v>84.104202804123702</v>
      </c>
    </row>
    <row r="22" spans="2:18" x14ac:dyDescent="0.2">
      <c r="B22" s="8">
        <v>12</v>
      </c>
      <c r="C22" s="8"/>
      <c r="D22" s="8"/>
      <c r="E22" s="8"/>
      <c r="F22" s="8"/>
      <c r="G22" s="8" t="s">
        <v>30</v>
      </c>
      <c r="H22" s="8">
        <v>1.3</v>
      </c>
      <c r="I22" s="8">
        <v>0.6</v>
      </c>
      <c r="J22" s="8">
        <v>3.8</v>
      </c>
      <c r="K22" s="8"/>
      <c r="L22" s="8">
        <f t="shared" si="0"/>
        <v>2.964</v>
      </c>
      <c r="M22" s="8">
        <v>54</v>
      </c>
      <c r="N22" s="8">
        <f t="shared" si="1"/>
        <v>151.07606799999999</v>
      </c>
    </row>
    <row r="23" spans="2:18" x14ac:dyDescent="0.2">
      <c r="B23" s="8">
        <v>13</v>
      </c>
      <c r="C23" s="8"/>
      <c r="D23" s="8"/>
      <c r="E23" s="8"/>
      <c r="F23" s="8"/>
      <c r="G23" s="8" t="s">
        <v>30</v>
      </c>
      <c r="H23" s="8">
        <v>1.3</v>
      </c>
      <c r="I23" s="8">
        <v>0.6</v>
      </c>
      <c r="J23" s="8">
        <v>3.8</v>
      </c>
      <c r="K23" s="8"/>
      <c r="L23" s="8">
        <f t="shared" si="0"/>
        <v>2.964</v>
      </c>
      <c r="M23" s="8">
        <v>93</v>
      </c>
      <c r="N23" s="8">
        <f t="shared" si="1"/>
        <v>87.721587870967738</v>
      </c>
    </row>
    <row r="24" spans="2:18" x14ac:dyDescent="0.2">
      <c r="B24" s="8">
        <v>14</v>
      </c>
      <c r="C24" s="8"/>
      <c r="D24" s="8"/>
      <c r="E24" s="8"/>
      <c r="F24" s="8"/>
      <c r="G24" s="8" t="s">
        <v>30</v>
      </c>
      <c r="H24" s="8">
        <v>1.3</v>
      </c>
      <c r="I24" s="8">
        <v>0.6</v>
      </c>
      <c r="J24" s="8">
        <v>3.8</v>
      </c>
      <c r="K24" s="8"/>
      <c r="L24" s="8">
        <f t="shared" si="0"/>
        <v>2.964</v>
      </c>
      <c r="M24" s="8">
        <v>91</v>
      </c>
      <c r="N24" s="8">
        <f t="shared" si="1"/>
        <v>89.649534857142854</v>
      </c>
    </row>
    <row r="25" spans="2:18" ht="16.5" customHeight="1" thickBot="1" x14ac:dyDescent="0.25">
      <c r="B25" s="9">
        <v>15</v>
      </c>
      <c r="C25" s="9"/>
      <c r="D25" s="9"/>
      <c r="E25" s="9"/>
      <c r="F25" s="9"/>
      <c r="G25" s="9" t="s">
        <v>30</v>
      </c>
      <c r="H25" s="9">
        <v>1.3</v>
      </c>
      <c r="I25" s="9">
        <v>0.6</v>
      </c>
      <c r="J25" s="9">
        <v>3.8</v>
      </c>
      <c r="K25" s="9"/>
      <c r="L25" s="8">
        <f t="shared" si="0"/>
        <v>2.964</v>
      </c>
      <c r="M25" s="9">
        <v>99</v>
      </c>
      <c r="N25" s="9">
        <f t="shared" si="1"/>
        <v>82.405128000000005</v>
      </c>
    </row>
    <row r="26" spans="2:18" x14ac:dyDescent="0.2">
      <c r="B26" s="7">
        <v>16</v>
      </c>
      <c r="C26" s="7"/>
      <c r="D26" s="7"/>
      <c r="E26" s="7"/>
      <c r="F26" s="7"/>
      <c r="G26" s="7" t="s">
        <v>30</v>
      </c>
      <c r="H26" s="7">
        <v>1.3</v>
      </c>
      <c r="I26" s="7">
        <v>0.6</v>
      </c>
      <c r="J26" s="7">
        <v>3.8</v>
      </c>
      <c r="K26" s="7"/>
      <c r="L26" s="7">
        <f t="shared" si="0"/>
        <v>2.964</v>
      </c>
      <c r="M26" s="7">
        <v>124</v>
      </c>
      <c r="N26" s="7">
        <f t="shared" si="1"/>
        <v>65.791190903225797</v>
      </c>
    </row>
    <row r="27" spans="2:18" x14ac:dyDescent="0.2">
      <c r="B27" s="8">
        <v>17</v>
      </c>
      <c r="C27" s="8"/>
      <c r="D27" s="8"/>
      <c r="E27" s="8"/>
      <c r="F27" s="8"/>
      <c r="G27" s="8" t="s">
        <v>30</v>
      </c>
      <c r="H27" s="8">
        <v>1.3</v>
      </c>
      <c r="I27" s="8">
        <v>0.6</v>
      </c>
      <c r="J27" s="8">
        <v>3.8</v>
      </c>
      <c r="K27" s="8"/>
      <c r="L27" s="8">
        <f t="shared" si="0"/>
        <v>2.964</v>
      </c>
      <c r="M27" s="8">
        <v>146</v>
      </c>
      <c r="N27" s="8">
        <f t="shared" si="1"/>
        <v>55.877449808219176</v>
      </c>
    </row>
    <row r="28" spans="2:18" x14ac:dyDescent="0.2">
      <c r="B28" s="8">
        <v>18</v>
      </c>
      <c r="C28" s="8"/>
      <c r="D28" s="8"/>
      <c r="E28" s="8"/>
      <c r="F28" s="8"/>
      <c r="G28" s="8" t="s">
        <v>30</v>
      </c>
      <c r="H28" s="8">
        <v>1.3</v>
      </c>
      <c r="I28" s="8">
        <v>0.6</v>
      </c>
      <c r="J28" s="8">
        <v>3.8</v>
      </c>
      <c r="K28" s="8"/>
      <c r="L28" s="8">
        <f t="shared" si="0"/>
        <v>2.964</v>
      </c>
      <c r="M28" s="8">
        <v>92</v>
      </c>
      <c r="N28" s="8">
        <f t="shared" si="1"/>
        <v>88.675083391304341</v>
      </c>
    </row>
    <row r="29" spans="2:18" x14ac:dyDescent="0.2">
      <c r="B29" s="8">
        <v>19</v>
      </c>
      <c r="C29" s="8"/>
      <c r="D29" s="8"/>
      <c r="E29" s="8"/>
      <c r="F29" s="8"/>
      <c r="G29" s="8" t="s">
        <v>30</v>
      </c>
      <c r="H29" s="8">
        <v>1.3</v>
      </c>
      <c r="I29" s="8">
        <v>0.6</v>
      </c>
      <c r="J29" s="8">
        <v>3.8</v>
      </c>
      <c r="K29" s="8"/>
      <c r="L29" s="8">
        <f t="shared" si="0"/>
        <v>2.964</v>
      </c>
      <c r="M29" s="8">
        <v>94</v>
      </c>
      <c r="N29" s="8">
        <f t="shared" si="1"/>
        <v>86.788379489361702</v>
      </c>
    </row>
    <row r="30" spans="2:18" ht="16.5" customHeight="1" thickBot="1" x14ac:dyDescent="0.25">
      <c r="B30" s="9">
        <v>20</v>
      </c>
      <c r="C30" s="9"/>
      <c r="D30" s="9"/>
      <c r="E30" s="9"/>
      <c r="F30" s="9"/>
      <c r="G30" s="9" t="s">
        <v>30</v>
      </c>
      <c r="H30" s="9">
        <v>1.3</v>
      </c>
      <c r="I30" s="9">
        <v>0.6</v>
      </c>
      <c r="J30" s="9">
        <v>3.8</v>
      </c>
      <c r="K30" s="9"/>
      <c r="L30" s="8">
        <f t="shared" si="0"/>
        <v>2.964</v>
      </c>
      <c r="M30" s="9">
        <v>72</v>
      </c>
      <c r="N30" s="9">
        <f t="shared" si="1"/>
        <v>113.30705099999999</v>
      </c>
    </row>
    <row r="31" spans="2:18" x14ac:dyDescent="0.2">
      <c r="B31" s="7">
        <v>21</v>
      </c>
      <c r="C31" s="7"/>
      <c r="D31" s="7"/>
      <c r="E31" s="7"/>
      <c r="F31" s="7"/>
      <c r="G31" s="7" t="s">
        <v>30</v>
      </c>
      <c r="H31" s="7">
        <v>1.3</v>
      </c>
      <c r="I31" s="7">
        <v>0.6</v>
      </c>
      <c r="J31" s="7">
        <v>3.8</v>
      </c>
      <c r="K31" s="7"/>
      <c r="L31" s="7">
        <f t="shared" si="0"/>
        <v>2.964</v>
      </c>
      <c r="M31" s="7">
        <v>78</v>
      </c>
      <c r="N31" s="7">
        <f t="shared" si="1"/>
        <v>104.59112399999998</v>
      </c>
    </row>
    <row r="32" spans="2:18" x14ac:dyDescent="0.2">
      <c r="B32" s="8">
        <v>22</v>
      </c>
      <c r="C32" s="8"/>
      <c r="D32" s="8"/>
      <c r="E32" s="8"/>
      <c r="F32" s="8"/>
      <c r="G32" s="8" t="s">
        <v>30</v>
      </c>
      <c r="H32" s="8">
        <v>1.3</v>
      </c>
      <c r="I32" s="8">
        <v>0.6</v>
      </c>
      <c r="J32" s="8">
        <v>3.8</v>
      </c>
      <c r="K32" s="8"/>
      <c r="L32" s="8">
        <f t="shared" si="0"/>
        <v>2.964</v>
      </c>
      <c r="M32" s="8">
        <v>71</v>
      </c>
      <c r="N32" s="8">
        <f t="shared" si="1"/>
        <v>114.90292495774646</v>
      </c>
    </row>
    <row r="33" spans="2:14" x14ac:dyDescent="0.2">
      <c r="B33" s="8">
        <v>23</v>
      </c>
      <c r="C33" s="8"/>
      <c r="D33" s="8"/>
      <c r="E33" s="8"/>
      <c r="F33" s="8"/>
      <c r="G33" s="8" t="s">
        <v>30</v>
      </c>
      <c r="H33" s="8">
        <v>1.3</v>
      </c>
      <c r="I33" s="8">
        <v>0.6</v>
      </c>
      <c r="J33" s="8">
        <v>3.8</v>
      </c>
      <c r="K33" s="8"/>
      <c r="L33" s="8">
        <f t="shared" si="0"/>
        <v>2.964</v>
      </c>
      <c r="M33" s="8">
        <v>79</v>
      </c>
      <c r="N33" s="8">
        <f t="shared" si="1"/>
        <v>103.26718572151898</v>
      </c>
    </row>
    <row r="34" spans="2:14" x14ac:dyDescent="0.2">
      <c r="B34" s="8">
        <v>24</v>
      </c>
      <c r="C34" s="8"/>
      <c r="D34" s="8"/>
      <c r="E34" s="8"/>
      <c r="F34" s="8"/>
      <c r="G34" s="8" t="s">
        <v>30</v>
      </c>
      <c r="H34" s="8">
        <v>1.3</v>
      </c>
      <c r="I34" s="8">
        <v>0.6</v>
      </c>
      <c r="J34" s="8">
        <v>3.8</v>
      </c>
      <c r="K34" s="8"/>
      <c r="L34" s="8">
        <f t="shared" si="0"/>
        <v>2.964</v>
      </c>
      <c r="M34" s="8">
        <v>83</v>
      </c>
      <c r="N34" s="8">
        <f t="shared" si="1"/>
        <v>98.290453879518054</v>
      </c>
    </row>
    <row r="35" spans="2:14" ht="16.5" customHeight="1" thickBot="1" x14ac:dyDescent="0.25">
      <c r="B35" s="9">
        <v>25</v>
      </c>
      <c r="C35" s="9"/>
      <c r="D35" s="9"/>
      <c r="E35" s="9"/>
      <c r="F35" s="9"/>
      <c r="G35" s="9" t="s">
        <v>30</v>
      </c>
      <c r="H35" s="9">
        <v>1.3</v>
      </c>
      <c r="I35" s="9">
        <v>0.6</v>
      </c>
      <c r="J35" s="9">
        <v>3.8</v>
      </c>
      <c r="K35" s="9"/>
      <c r="L35" s="8">
        <f t="shared" si="0"/>
        <v>2.964</v>
      </c>
      <c r="M35" s="9">
        <v>126</v>
      </c>
      <c r="N35" s="9">
        <f t="shared" si="1"/>
        <v>64.746886285714282</v>
      </c>
    </row>
    <row r="36" spans="2:14" x14ac:dyDescent="0.2">
      <c r="B36" s="7">
        <v>26</v>
      </c>
      <c r="C36" s="7"/>
      <c r="D36" s="7"/>
      <c r="E36" s="7"/>
      <c r="F36" s="7"/>
      <c r="G36" s="7" t="s">
        <v>30</v>
      </c>
      <c r="H36" s="7">
        <v>1.3</v>
      </c>
      <c r="I36" s="7">
        <v>0.6</v>
      </c>
      <c r="J36" s="7">
        <v>3.8</v>
      </c>
      <c r="K36" s="7"/>
      <c r="L36" s="7">
        <f t="shared" si="0"/>
        <v>2.964</v>
      </c>
      <c r="M36" s="7">
        <v>93</v>
      </c>
      <c r="N36" s="7">
        <f t="shared" si="1"/>
        <v>87.721587870967738</v>
      </c>
    </row>
    <row r="37" spans="2:14" x14ac:dyDescent="0.2">
      <c r="B37" s="8">
        <v>27</v>
      </c>
      <c r="C37" s="8"/>
      <c r="D37" s="8"/>
      <c r="E37" s="8"/>
      <c r="F37" s="8"/>
      <c r="G37" s="8" t="s">
        <v>30</v>
      </c>
      <c r="H37" s="8">
        <v>1.3</v>
      </c>
      <c r="I37" s="8">
        <v>0.6</v>
      </c>
      <c r="J37" s="8">
        <v>3.8</v>
      </c>
      <c r="K37" s="8"/>
      <c r="L37" s="8">
        <f t="shared" si="0"/>
        <v>2.964</v>
      </c>
      <c r="M37" s="8">
        <v>81</v>
      </c>
      <c r="N37" s="8">
        <f t="shared" si="1"/>
        <v>100.71737866666666</v>
      </c>
    </row>
    <row r="38" spans="2:14" x14ac:dyDescent="0.2">
      <c r="B38" s="8">
        <v>28</v>
      </c>
      <c r="C38" s="8"/>
      <c r="D38" s="8"/>
      <c r="E38" s="8"/>
      <c r="F38" s="8"/>
      <c r="G38" s="8" t="s">
        <v>30</v>
      </c>
      <c r="H38" s="8">
        <v>1.3</v>
      </c>
      <c r="I38" s="8">
        <v>0.6</v>
      </c>
      <c r="J38" s="8">
        <v>3.8</v>
      </c>
      <c r="K38" s="8"/>
      <c r="L38" s="8">
        <f t="shared" si="0"/>
        <v>2.964</v>
      </c>
      <c r="M38" s="8">
        <v>126</v>
      </c>
      <c r="N38" s="8">
        <f t="shared" si="1"/>
        <v>64.746886285714282</v>
      </c>
    </row>
    <row r="39" spans="2:14" x14ac:dyDescent="0.2">
      <c r="B39" s="8">
        <v>29</v>
      </c>
      <c r="C39" s="8"/>
      <c r="D39" s="8"/>
      <c r="E39" s="8"/>
      <c r="F39" s="8"/>
      <c r="G39" s="8" t="s">
        <v>30</v>
      </c>
      <c r="H39" s="8">
        <v>1.3</v>
      </c>
      <c r="I39" s="8">
        <v>0.6</v>
      </c>
      <c r="J39" s="8">
        <v>3.8</v>
      </c>
      <c r="K39" s="8"/>
      <c r="L39" s="8">
        <f t="shared" si="0"/>
        <v>2.964</v>
      </c>
      <c r="M39" s="8">
        <v>129</v>
      </c>
      <c r="N39" s="8">
        <f t="shared" si="1"/>
        <v>63.241144744186045</v>
      </c>
    </row>
    <row r="40" spans="2:14" ht="16.5" customHeight="1" thickBot="1" x14ac:dyDescent="0.25">
      <c r="B40" s="9">
        <v>30</v>
      </c>
      <c r="C40" s="9"/>
      <c r="D40" s="9"/>
      <c r="E40" s="9"/>
      <c r="F40" s="9"/>
      <c r="G40" s="9" t="s">
        <v>30</v>
      </c>
      <c r="H40" s="9">
        <v>1.3</v>
      </c>
      <c r="I40" s="9">
        <v>0.6</v>
      </c>
      <c r="J40" s="9">
        <v>3.8</v>
      </c>
      <c r="K40" s="9"/>
      <c r="L40" s="8">
        <f t="shared" si="0"/>
        <v>2.964</v>
      </c>
      <c r="M40" s="9">
        <v>55</v>
      </c>
      <c r="N40" s="9">
        <f t="shared" si="1"/>
        <v>148.3292304</v>
      </c>
    </row>
    <row r="41" spans="2:14" x14ac:dyDescent="0.2">
      <c r="B41" s="7">
        <v>31</v>
      </c>
      <c r="C41" s="7"/>
      <c r="D41" s="7"/>
      <c r="E41" s="7"/>
      <c r="F41" s="7"/>
      <c r="G41" s="7" t="s">
        <v>30</v>
      </c>
      <c r="H41" s="7">
        <v>1.3</v>
      </c>
      <c r="I41" s="7">
        <v>0.6</v>
      </c>
      <c r="J41" s="7">
        <v>3.8</v>
      </c>
      <c r="K41" s="7"/>
      <c r="L41" s="7">
        <f t="shared" si="0"/>
        <v>2.964</v>
      </c>
      <c r="M41" s="7">
        <v>138</v>
      </c>
      <c r="N41" s="7">
        <f t="shared" si="1"/>
        <v>59.116722260869558</v>
      </c>
    </row>
    <row r="42" spans="2:14" x14ac:dyDescent="0.2">
      <c r="B42" s="8">
        <v>32</v>
      </c>
      <c r="C42" s="8"/>
      <c r="D42" s="8"/>
      <c r="E42" s="8"/>
      <c r="F42" s="8"/>
      <c r="G42" s="8" t="s">
        <v>30</v>
      </c>
      <c r="H42" s="8">
        <v>1.3</v>
      </c>
      <c r="I42" s="8">
        <v>0.6</v>
      </c>
      <c r="J42" s="8">
        <v>3.8</v>
      </c>
      <c r="K42" s="8"/>
      <c r="L42" s="8">
        <f t="shared" si="0"/>
        <v>2.964</v>
      </c>
      <c r="M42" s="8">
        <v>106</v>
      </c>
      <c r="N42" s="8">
        <f t="shared" si="1"/>
        <v>76.963279924528294</v>
      </c>
    </row>
    <row r="43" spans="2:14" x14ac:dyDescent="0.2">
      <c r="B43" s="8">
        <v>33</v>
      </c>
      <c r="C43" s="8"/>
      <c r="D43" s="8"/>
      <c r="E43" s="8"/>
      <c r="F43" s="8"/>
      <c r="G43" s="8" t="s">
        <v>30</v>
      </c>
      <c r="H43" s="8">
        <v>1.3</v>
      </c>
      <c r="I43" s="8">
        <v>0.6</v>
      </c>
      <c r="J43" s="8">
        <v>3.8</v>
      </c>
      <c r="K43" s="8"/>
      <c r="L43" s="8">
        <f t="shared" ref="L43:L74" si="2">H43*I43*J43</f>
        <v>2.964</v>
      </c>
      <c r="M43" s="8">
        <v>125</v>
      </c>
      <c r="N43" s="8">
        <f t="shared" ref="N43:N74" si="3">L43*3600/M43*0.764555</f>
        <v>65.264861375999999</v>
      </c>
    </row>
    <row r="44" spans="2:14" x14ac:dyDescent="0.2">
      <c r="B44" s="8">
        <v>34</v>
      </c>
      <c r="C44" s="8"/>
      <c r="D44" s="8"/>
      <c r="E44" s="8"/>
      <c r="F44" s="8"/>
      <c r="G44" s="8" t="s">
        <v>30</v>
      </c>
      <c r="H44" s="8">
        <v>1.3</v>
      </c>
      <c r="I44" s="8">
        <v>0.6</v>
      </c>
      <c r="J44" s="8">
        <v>3.8</v>
      </c>
      <c r="K44" s="8"/>
      <c r="L44" s="8">
        <f t="shared" si="2"/>
        <v>2.964</v>
      </c>
      <c r="M44" s="8">
        <v>91</v>
      </c>
      <c r="N44" s="8">
        <f t="shared" si="3"/>
        <v>89.649534857142854</v>
      </c>
    </row>
    <row r="45" spans="2:14" ht="16.5" customHeight="1" thickBot="1" x14ac:dyDescent="0.25">
      <c r="B45" s="9">
        <v>35</v>
      </c>
      <c r="C45" s="9"/>
      <c r="D45" s="9"/>
      <c r="E45" s="9"/>
      <c r="F45" s="9"/>
      <c r="G45" s="9" t="s">
        <v>30</v>
      </c>
      <c r="H45" s="9">
        <v>1.3</v>
      </c>
      <c r="I45" s="9">
        <v>0.6</v>
      </c>
      <c r="J45" s="9">
        <v>3.8</v>
      </c>
      <c r="K45" s="9"/>
      <c r="L45" s="8">
        <f t="shared" si="2"/>
        <v>2.964</v>
      </c>
      <c r="M45" s="9">
        <v>126</v>
      </c>
      <c r="N45" s="9">
        <f t="shared" si="3"/>
        <v>64.746886285714282</v>
      </c>
    </row>
    <row r="46" spans="2:14" x14ac:dyDescent="0.2">
      <c r="B46" s="7">
        <v>36</v>
      </c>
      <c r="C46" s="7"/>
      <c r="D46" s="7"/>
      <c r="E46" s="7"/>
      <c r="F46" s="7"/>
      <c r="G46" s="7" t="s">
        <v>30</v>
      </c>
      <c r="H46" s="7">
        <v>1.3</v>
      </c>
      <c r="I46" s="7">
        <v>0.6</v>
      </c>
      <c r="J46" s="7">
        <v>3.8</v>
      </c>
      <c r="K46" s="7"/>
      <c r="L46" s="7">
        <f t="shared" si="2"/>
        <v>2.964</v>
      </c>
      <c r="M46" s="7">
        <v>91</v>
      </c>
      <c r="N46" s="7">
        <f t="shared" si="3"/>
        <v>89.649534857142854</v>
      </c>
    </row>
    <row r="47" spans="2:14" x14ac:dyDescent="0.2">
      <c r="B47" s="8">
        <v>37</v>
      </c>
      <c r="C47" s="8"/>
      <c r="D47" s="8"/>
      <c r="E47" s="8"/>
      <c r="F47" s="8"/>
      <c r="G47" s="8" t="s">
        <v>30</v>
      </c>
      <c r="H47" s="8">
        <v>1.3</v>
      </c>
      <c r="I47" s="8">
        <v>0.6</v>
      </c>
      <c r="J47" s="8">
        <v>3.8</v>
      </c>
      <c r="K47" s="8"/>
      <c r="L47" s="8">
        <f t="shared" si="2"/>
        <v>2.964</v>
      </c>
      <c r="M47" s="8">
        <v>125</v>
      </c>
      <c r="N47" s="8">
        <f t="shared" si="3"/>
        <v>65.264861375999999</v>
      </c>
    </row>
    <row r="48" spans="2:14" x14ac:dyDescent="0.2">
      <c r="B48" s="8">
        <v>38</v>
      </c>
      <c r="C48" s="8"/>
      <c r="D48" s="8"/>
      <c r="E48" s="8"/>
      <c r="F48" s="8"/>
      <c r="G48" s="8" t="s">
        <v>30</v>
      </c>
      <c r="H48" s="8">
        <v>1.3</v>
      </c>
      <c r="I48" s="8">
        <v>0.6</v>
      </c>
      <c r="J48" s="8">
        <v>3.8</v>
      </c>
      <c r="K48" s="8"/>
      <c r="L48" s="8">
        <f t="shared" si="2"/>
        <v>2.964</v>
      </c>
      <c r="M48" s="8">
        <v>119</v>
      </c>
      <c r="N48" s="8">
        <f t="shared" si="3"/>
        <v>68.555526655462174</v>
      </c>
    </row>
    <row r="49" spans="2:14" x14ac:dyDescent="0.2">
      <c r="B49" s="8">
        <v>39</v>
      </c>
      <c r="C49" s="8"/>
      <c r="D49" s="8"/>
      <c r="E49" s="8"/>
      <c r="F49" s="8"/>
      <c r="G49" s="8" t="s">
        <v>30</v>
      </c>
      <c r="H49" s="8">
        <v>1.3</v>
      </c>
      <c r="I49" s="8">
        <v>0.6</v>
      </c>
      <c r="J49" s="8">
        <v>3.8</v>
      </c>
      <c r="K49" s="8"/>
      <c r="L49" s="8">
        <f t="shared" si="2"/>
        <v>2.964</v>
      </c>
      <c r="M49" s="8">
        <v>100</v>
      </c>
      <c r="N49" s="8">
        <f t="shared" si="3"/>
        <v>81.581076719999999</v>
      </c>
    </row>
    <row r="50" spans="2:14" ht="16.5" customHeight="1" thickBot="1" x14ac:dyDescent="0.25">
      <c r="B50" s="9">
        <v>40</v>
      </c>
      <c r="C50" s="9"/>
      <c r="D50" s="9"/>
      <c r="E50" s="9"/>
      <c r="F50" s="9"/>
      <c r="G50" s="9" t="s">
        <v>30</v>
      </c>
      <c r="H50" s="9">
        <v>1.3</v>
      </c>
      <c r="I50" s="9">
        <v>0.6</v>
      </c>
      <c r="J50" s="9">
        <v>3.8</v>
      </c>
      <c r="K50" s="9"/>
      <c r="L50" s="8">
        <f t="shared" si="2"/>
        <v>2.964</v>
      </c>
      <c r="M50" s="9">
        <v>119</v>
      </c>
      <c r="N50" s="9">
        <f t="shared" si="3"/>
        <v>68.555526655462174</v>
      </c>
    </row>
    <row r="51" spans="2:14" x14ac:dyDescent="0.2">
      <c r="B51" s="7">
        <v>41</v>
      </c>
      <c r="C51" s="7"/>
      <c r="D51" s="7"/>
      <c r="E51" s="7"/>
      <c r="F51" s="7"/>
      <c r="G51" s="7" t="s">
        <v>30</v>
      </c>
      <c r="H51" s="7">
        <v>1.3</v>
      </c>
      <c r="I51" s="7">
        <v>0.6</v>
      </c>
      <c r="J51" s="7">
        <v>3.8</v>
      </c>
      <c r="K51" s="7"/>
      <c r="L51" s="7">
        <f t="shared" si="2"/>
        <v>2.964</v>
      </c>
      <c r="M51" s="7">
        <v>134</v>
      </c>
      <c r="N51" s="7">
        <f t="shared" si="3"/>
        <v>60.881400537313432</v>
      </c>
    </row>
    <row r="52" spans="2:14" x14ac:dyDescent="0.2">
      <c r="B52" s="8">
        <v>42</v>
      </c>
      <c r="C52" s="8"/>
      <c r="D52" s="8"/>
      <c r="E52" s="8"/>
      <c r="F52" s="8"/>
      <c r="G52" s="8" t="s">
        <v>30</v>
      </c>
      <c r="H52" s="8">
        <v>1.3</v>
      </c>
      <c r="I52" s="8">
        <v>0.6</v>
      </c>
      <c r="J52" s="8">
        <v>3.8</v>
      </c>
      <c r="K52" s="8"/>
      <c r="L52" s="8">
        <f t="shared" si="2"/>
        <v>2.964</v>
      </c>
      <c r="M52" s="8">
        <v>129</v>
      </c>
      <c r="N52" s="8">
        <f t="shared" si="3"/>
        <v>63.241144744186045</v>
      </c>
    </row>
    <row r="53" spans="2:14" x14ac:dyDescent="0.2">
      <c r="B53" s="8">
        <v>43</v>
      </c>
      <c r="C53" s="8"/>
      <c r="D53" s="8"/>
      <c r="E53" s="8"/>
      <c r="F53" s="8"/>
      <c r="G53" s="8" t="s">
        <v>30</v>
      </c>
      <c r="H53" s="8">
        <v>1.3</v>
      </c>
      <c r="I53" s="8">
        <v>0.6</v>
      </c>
      <c r="J53" s="8">
        <v>3.8</v>
      </c>
      <c r="K53" s="8"/>
      <c r="L53" s="8">
        <f t="shared" si="2"/>
        <v>2.964</v>
      </c>
      <c r="M53" s="8">
        <v>118</v>
      </c>
      <c r="N53" s="8">
        <f t="shared" si="3"/>
        <v>69.136505694915243</v>
      </c>
    </row>
    <row r="54" spans="2:14" x14ac:dyDescent="0.2">
      <c r="B54" s="8">
        <v>44</v>
      </c>
      <c r="C54" s="8"/>
      <c r="D54" s="8"/>
      <c r="E54" s="8"/>
      <c r="F54" s="8"/>
      <c r="G54" s="8" t="s">
        <v>30</v>
      </c>
      <c r="H54" s="8">
        <v>1.3</v>
      </c>
      <c r="I54" s="8">
        <v>0.6</v>
      </c>
      <c r="J54" s="8">
        <v>3.8</v>
      </c>
      <c r="K54" s="8"/>
      <c r="L54" s="8">
        <f t="shared" si="2"/>
        <v>2.964</v>
      </c>
      <c r="M54" s="8">
        <v>94</v>
      </c>
      <c r="N54" s="8">
        <f t="shared" si="3"/>
        <v>86.788379489361702</v>
      </c>
    </row>
    <row r="55" spans="2:14" ht="16.5" customHeight="1" thickBot="1" x14ac:dyDescent="0.25">
      <c r="B55" s="9">
        <v>45</v>
      </c>
      <c r="C55" s="9"/>
      <c r="D55" s="9"/>
      <c r="E55" s="9"/>
      <c r="F55" s="9"/>
      <c r="G55" s="9" t="s">
        <v>30</v>
      </c>
      <c r="H55" s="9">
        <v>1.3</v>
      </c>
      <c r="I55" s="9">
        <v>0.6</v>
      </c>
      <c r="J55" s="9">
        <v>3.8</v>
      </c>
      <c r="K55" s="9"/>
      <c r="L55" s="8">
        <f t="shared" si="2"/>
        <v>2.964</v>
      </c>
      <c r="M55" s="9">
        <v>80</v>
      </c>
      <c r="N55" s="9">
        <f t="shared" si="3"/>
        <v>101.9763459</v>
      </c>
    </row>
    <row r="56" spans="2:14" x14ac:dyDescent="0.2">
      <c r="B56" s="7">
        <v>46</v>
      </c>
      <c r="C56" s="7"/>
      <c r="D56" s="7"/>
      <c r="E56" s="7"/>
      <c r="F56" s="7"/>
      <c r="G56" s="7" t="s">
        <v>30</v>
      </c>
      <c r="H56" s="7">
        <v>1.3</v>
      </c>
      <c r="I56" s="7">
        <v>0.6</v>
      </c>
      <c r="J56" s="7">
        <v>3.8</v>
      </c>
      <c r="K56" s="7"/>
      <c r="L56" s="7">
        <f t="shared" si="2"/>
        <v>2.964</v>
      </c>
      <c r="M56" s="7">
        <v>97</v>
      </c>
      <c r="N56" s="7">
        <f t="shared" si="3"/>
        <v>84.104202804123702</v>
      </c>
    </row>
    <row r="57" spans="2:14" x14ac:dyDescent="0.2">
      <c r="B57" s="8">
        <v>47</v>
      </c>
      <c r="C57" s="8"/>
      <c r="D57" s="8"/>
      <c r="E57" s="8"/>
      <c r="F57" s="8"/>
      <c r="G57" s="8" t="s">
        <v>30</v>
      </c>
      <c r="H57" s="8">
        <v>1.3</v>
      </c>
      <c r="I57" s="8">
        <v>0.6</v>
      </c>
      <c r="J57" s="8">
        <v>3.8</v>
      </c>
      <c r="K57" s="8"/>
      <c r="L57" s="8">
        <f t="shared" si="2"/>
        <v>2.964</v>
      </c>
      <c r="M57" s="8">
        <v>46</v>
      </c>
      <c r="N57" s="8">
        <f t="shared" si="3"/>
        <v>177.35016678260868</v>
      </c>
    </row>
    <row r="58" spans="2:14" x14ac:dyDescent="0.2">
      <c r="B58" s="8">
        <v>48</v>
      </c>
      <c r="C58" s="8"/>
      <c r="D58" s="8"/>
      <c r="E58" s="8"/>
      <c r="F58" s="8"/>
      <c r="G58" s="8" t="s">
        <v>30</v>
      </c>
      <c r="H58" s="8">
        <v>1.3</v>
      </c>
      <c r="I58" s="8">
        <v>0.6</v>
      </c>
      <c r="J58" s="8">
        <v>3.8</v>
      </c>
      <c r="K58" s="8"/>
      <c r="L58" s="8">
        <f t="shared" si="2"/>
        <v>2.964</v>
      </c>
      <c r="M58" s="8">
        <v>94</v>
      </c>
      <c r="N58" s="8">
        <f t="shared" si="3"/>
        <v>86.788379489361702</v>
      </c>
    </row>
    <row r="59" spans="2:14" x14ac:dyDescent="0.2">
      <c r="B59" s="8">
        <v>49</v>
      </c>
      <c r="C59" s="8"/>
      <c r="D59" s="8"/>
      <c r="E59" s="8"/>
      <c r="F59" s="8"/>
      <c r="G59" s="8" t="s">
        <v>30</v>
      </c>
      <c r="H59" s="8">
        <v>1.3</v>
      </c>
      <c r="I59" s="8">
        <v>0.6</v>
      </c>
      <c r="J59" s="8">
        <v>3.8</v>
      </c>
      <c r="K59" s="8"/>
      <c r="L59" s="8">
        <f t="shared" si="2"/>
        <v>2.964</v>
      </c>
      <c r="M59" s="8">
        <v>132</v>
      </c>
      <c r="N59" s="8">
        <f t="shared" si="3"/>
        <v>61.803845999999993</v>
      </c>
    </row>
    <row r="60" spans="2:14" ht="16.5" customHeight="1" thickBot="1" x14ac:dyDescent="0.25">
      <c r="B60" s="9">
        <v>50</v>
      </c>
      <c r="C60" s="9"/>
      <c r="D60" s="9"/>
      <c r="E60" s="9"/>
      <c r="F60" s="9"/>
      <c r="G60" s="9" t="s">
        <v>30</v>
      </c>
      <c r="H60" s="9">
        <v>1.3</v>
      </c>
      <c r="I60" s="9">
        <v>0.6</v>
      </c>
      <c r="J60" s="9">
        <v>3.8</v>
      </c>
      <c r="K60" s="9"/>
      <c r="L60" s="8">
        <f t="shared" si="2"/>
        <v>2.964</v>
      </c>
      <c r="M60" s="9">
        <v>35</v>
      </c>
      <c r="N60" s="9">
        <f t="shared" si="3"/>
        <v>233.08879062857145</v>
      </c>
    </row>
    <row r="61" spans="2:14" x14ac:dyDescent="0.2">
      <c r="B61" s="7">
        <v>51</v>
      </c>
      <c r="C61" s="7"/>
      <c r="D61" s="7"/>
      <c r="E61" s="7"/>
      <c r="F61" s="7"/>
      <c r="G61" s="7" t="s">
        <v>30</v>
      </c>
      <c r="H61" s="7">
        <v>1.3</v>
      </c>
      <c r="I61" s="7">
        <v>0.6</v>
      </c>
      <c r="J61" s="7">
        <v>3.8</v>
      </c>
      <c r="K61" s="7"/>
      <c r="L61" s="7">
        <f t="shared" si="2"/>
        <v>2.964</v>
      </c>
      <c r="M61" s="7">
        <v>133</v>
      </c>
      <c r="N61" s="7">
        <f t="shared" si="3"/>
        <v>61.339155428571424</v>
      </c>
    </row>
    <row r="62" spans="2:14" x14ac:dyDescent="0.2">
      <c r="B62" s="8">
        <v>52</v>
      </c>
      <c r="C62" s="8"/>
      <c r="D62" s="8"/>
      <c r="E62" s="8"/>
      <c r="F62" s="8"/>
      <c r="G62" s="8" t="s">
        <v>30</v>
      </c>
      <c r="H62" s="8">
        <v>1.3</v>
      </c>
      <c r="I62" s="8">
        <v>0.6</v>
      </c>
      <c r="J62" s="8">
        <v>3.8</v>
      </c>
      <c r="K62" s="8"/>
      <c r="L62" s="8">
        <f t="shared" si="2"/>
        <v>2.964</v>
      </c>
      <c r="M62" s="8">
        <v>99</v>
      </c>
      <c r="N62" s="8">
        <f t="shared" si="3"/>
        <v>82.405128000000005</v>
      </c>
    </row>
    <row r="63" spans="2:14" x14ac:dyDescent="0.2">
      <c r="B63" s="8">
        <v>53</v>
      </c>
      <c r="C63" s="8"/>
      <c r="D63" s="8"/>
      <c r="E63" s="8"/>
      <c r="F63" s="8"/>
      <c r="G63" s="8" t="s">
        <v>30</v>
      </c>
      <c r="H63" s="8">
        <v>1.3</v>
      </c>
      <c r="I63" s="8">
        <v>0.6</v>
      </c>
      <c r="J63" s="8">
        <v>3.8</v>
      </c>
      <c r="K63" s="8"/>
      <c r="L63" s="8">
        <f t="shared" si="2"/>
        <v>2.964</v>
      </c>
      <c r="M63" s="8">
        <v>115</v>
      </c>
      <c r="N63" s="8">
        <f t="shared" si="3"/>
        <v>70.940066713043478</v>
      </c>
    </row>
    <row r="64" spans="2:14" x14ac:dyDescent="0.2">
      <c r="B64" s="8">
        <v>54</v>
      </c>
      <c r="C64" s="8"/>
      <c r="D64" s="8"/>
      <c r="E64" s="8"/>
      <c r="F64" s="8"/>
      <c r="G64" s="8" t="s">
        <v>30</v>
      </c>
      <c r="H64" s="8">
        <v>1.3</v>
      </c>
      <c r="I64" s="8">
        <v>0.6</v>
      </c>
      <c r="J64" s="8">
        <v>3.8</v>
      </c>
      <c r="K64" s="8"/>
      <c r="L64" s="8">
        <f t="shared" si="2"/>
        <v>2.964</v>
      </c>
      <c r="M64" s="8">
        <v>53</v>
      </c>
      <c r="N64" s="8">
        <f t="shared" si="3"/>
        <v>153.92655984905659</v>
      </c>
    </row>
    <row r="65" spans="2:14" ht="16.5" customHeight="1" thickBot="1" x14ac:dyDescent="0.25">
      <c r="B65" s="9">
        <v>55</v>
      </c>
      <c r="C65" s="9"/>
      <c r="D65" s="9"/>
      <c r="E65" s="9"/>
      <c r="F65" s="9"/>
      <c r="G65" s="9" t="s">
        <v>30</v>
      </c>
      <c r="H65" s="9">
        <v>1.3</v>
      </c>
      <c r="I65" s="9">
        <v>0.6</v>
      </c>
      <c r="J65" s="9">
        <v>3.8</v>
      </c>
      <c r="K65" s="9"/>
      <c r="L65" s="8">
        <f t="shared" si="2"/>
        <v>2.964</v>
      </c>
      <c r="M65" s="9">
        <v>86</v>
      </c>
      <c r="N65" s="9">
        <f t="shared" si="3"/>
        <v>94.861717116279067</v>
      </c>
    </row>
    <row r="66" spans="2:14" x14ac:dyDescent="0.2">
      <c r="B66" s="7">
        <v>56</v>
      </c>
      <c r="C66" s="7"/>
      <c r="D66" s="7"/>
      <c r="E66" s="7"/>
      <c r="F66" s="7"/>
      <c r="G66" s="7" t="s">
        <v>30</v>
      </c>
      <c r="H66" s="7">
        <v>1.3</v>
      </c>
      <c r="I66" s="7">
        <v>0.6</v>
      </c>
      <c r="J66" s="7">
        <v>3.8</v>
      </c>
      <c r="K66" s="7"/>
      <c r="L66" s="7">
        <f t="shared" si="2"/>
        <v>2.964</v>
      </c>
      <c r="M66" s="7">
        <v>83</v>
      </c>
      <c r="N66" s="7">
        <f t="shared" si="3"/>
        <v>98.290453879518054</v>
      </c>
    </row>
    <row r="67" spans="2:14" x14ac:dyDescent="0.2">
      <c r="B67" s="8">
        <v>57</v>
      </c>
      <c r="C67" s="8"/>
      <c r="D67" s="8"/>
      <c r="E67" s="8"/>
      <c r="F67" s="8"/>
      <c r="G67" s="8" t="s">
        <v>30</v>
      </c>
      <c r="H67" s="8">
        <v>1.3</v>
      </c>
      <c r="I67" s="8">
        <v>0.6</v>
      </c>
      <c r="J67" s="8">
        <v>3.8</v>
      </c>
      <c r="K67" s="8"/>
      <c r="L67" s="8">
        <f t="shared" si="2"/>
        <v>2.964</v>
      </c>
      <c r="M67" s="8">
        <v>69</v>
      </c>
      <c r="N67" s="8">
        <f t="shared" si="3"/>
        <v>118.23344452173912</v>
      </c>
    </row>
    <row r="68" spans="2:14" x14ac:dyDescent="0.2">
      <c r="B68" s="8">
        <v>58</v>
      </c>
      <c r="C68" s="8"/>
      <c r="D68" s="8"/>
      <c r="E68" s="8"/>
      <c r="F68" s="8"/>
      <c r="G68" s="8" t="s">
        <v>30</v>
      </c>
      <c r="H68" s="8">
        <v>1.3</v>
      </c>
      <c r="I68" s="8">
        <v>0.6</v>
      </c>
      <c r="J68" s="8">
        <v>3.8</v>
      </c>
      <c r="K68" s="8"/>
      <c r="L68" s="8">
        <f t="shared" si="2"/>
        <v>2.964</v>
      </c>
      <c r="M68" s="8">
        <v>108</v>
      </c>
      <c r="N68" s="8">
        <f t="shared" si="3"/>
        <v>75.538033999999996</v>
      </c>
    </row>
    <row r="69" spans="2:14" x14ac:dyDescent="0.2">
      <c r="B69" s="8">
        <v>59</v>
      </c>
      <c r="C69" s="8"/>
      <c r="D69" s="8"/>
      <c r="E69" s="8"/>
      <c r="F69" s="8"/>
      <c r="G69" s="8" t="s">
        <v>30</v>
      </c>
      <c r="H69" s="8">
        <v>1.3</v>
      </c>
      <c r="I69" s="8">
        <v>0.6</v>
      </c>
      <c r="J69" s="8">
        <v>3.8</v>
      </c>
      <c r="K69" s="8"/>
      <c r="L69" s="8">
        <f t="shared" si="2"/>
        <v>2.964</v>
      </c>
      <c r="M69" s="8">
        <v>34</v>
      </c>
      <c r="N69" s="8">
        <f t="shared" si="3"/>
        <v>239.94434329411763</v>
      </c>
    </row>
    <row r="70" spans="2:14" ht="16.5" customHeight="1" thickBot="1" x14ac:dyDescent="0.25">
      <c r="B70" s="9">
        <v>60</v>
      </c>
      <c r="C70" s="9"/>
      <c r="D70" s="9"/>
      <c r="E70" s="9"/>
      <c r="F70" s="9"/>
      <c r="G70" s="9" t="s">
        <v>30</v>
      </c>
      <c r="H70" s="9">
        <v>1.3</v>
      </c>
      <c r="I70" s="9">
        <v>0.6</v>
      </c>
      <c r="J70" s="9">
        <v>3.8</v>
      </c>
      <c r="K70" s="9"/>
      <c r="L70" s="8">
        <f t="shared" si="2"/>
        <v>2.964</v>
      </c>
      <c r="M70" s="9">
        <v>53</v>
      </c>
      <c r="N70" s="9">
        <f t="shared" si="3"/>
        <v>153.92655984905659</v>
      </c>
    </row>
    <row r="71" spans="2:14" x14ac:dyDescent="0.2">
      <c r="B71" s="7">
        <v>61</v>
      </c>
      <c r="C71" s="7"/>
      <c r="D71" s="7"/>
      <c r="E71" s="7"/>
      <c r="F71" s="7"/>
      <c r="G71" s="7" t="s">
        <v>30</v>
      </c>
      <c r="H71" s="7">
        <v>1.3</v>
      </c>
      <c r="I71" s="7">
        <v>0.6</v>
      </c>
      <c r="J71" s="7">
        <v>3.8</v>
      </c>
      <c r="K71" s="7"/>
      <c r="L71" s="7">
        <f t="shared" si="2"/>
        <v>2.964</v>
      </c>
      <c r="M71" s="7">
        <v>127</v>
      </c>
      <c r="N71" s="7">
        <f t="shared" si="3"/>
        <v>64.237068283464566</v>
      </c>
    </row>
    <row r="72" spans="2:14" x14ac:dyDescent="0.2">
      <c r="B72" s="8">
        <v>62</v>
      </c>
      <c r="C72" s="8"/>
      <c r="D72" s="8"/>
      <c r="E72" s="8"/>
      <c r="F72" s="8"/>
      <c r="G72" s="8" t="s">
        <v>30</v>
      </c>
      <c r="H72" s="8">
        <v>1.3</v>
      </c>
      <c r="I72" s="8">
        <v>0.6</v>
      </c>
      <c r="J72" s="8">
        <v>3.8</v>
      </c>
      <c r="K72" s="8"/>
      <c r="L72" s="8">
        <f t="shared" si="2"/>
        <v>2.964</v>
      </c>
      <c r="M72" s="8">
        <v>94</v>
      </c>
      <c r="N72" s="8">
        <f t="shared" si="3"/>
        <v>86.788379489361702</v>
      </c>
    </row>
    <row r="73" spans="2:14" x14ac:dyDescent="0.2">
      <c r="B73" s="8">
        <v>63</v>
      </c>
      <c r="C73" s="8"/>
      <c r="D73" s="8"/>
      <c r="E73" s="8"/>
      <c r="F73" s="8"/>
      <c r="G73" s="8" t="s">
        <v>30</v>
      </c>
      <c r="H73" s="8">
        <v>1.3</v>
      </c>
      <c r="I73" s="8">
        <v>0.6</v>
      </c>
      <c r="J73" s="8">
        <v>3.8</v>
      </c>
      <c r="K73" s="8"/>
      <c r="L73" s="8">
        <f t="shared" si="2"/>
        <v>2.964</v>
      </c>
      <c r="M73" s="8">
        <v>57</v>
      </c>
      <c r="N73" s="8">
        <f t="shared" si="3"/>
        <v>143.124696</v>
      </c>
    </row>
    <row r="74" spans="2:14" x14ac:dyDescent="0.2">
      <c r="B74" s="8">
        <v>64</v>
      </c>
      <c r="C74" s="8"/>
      <c r="D74" s="8"/>
      <c r="E74" s="8"/>
      <c r="F74" s="8"/>
      <c r="G74" s="8" t="s">
        <v>30</v>
      </c>
      <c r="H74" s="8">
        <v>1.3</v>
      </c>
      <c r="I74" s="8">
        <v>0.6</v>
      </c>
      <c r="J74" s="8">
        <v>3.8</v>
      </c>
      <c r="K74" s="8"/>
      <c r="L74" s="8">
        <f t="shared" si="2"/>
        <v>2.964</v>
      </c>
      <c r="M74" s="8">
        <v>41</v>
      </c>
      <c r="N74" s="8">
        <f t="shared" si="3"/>
        <v>198.97823590243902</v>
      </c>
    </row>
    <row r="75" spans="2:14" ht="16.5" customHeight="1" thickBot="1" x14ac:dyDescent="0.25">
      <c r="B75" s="9">
        <v>65</v>
      </c>
      <c r="C75" s="9"/>
      <c r="D75" s="9"/>
      <c r="E75" s="9"/>
      <c r="F75" s="9"/>
      <c r="G75" s="9" t="s">
        <v>30</v>
      </c>
      <c r="H75" s="9">
        <v>1.3</v>
      </c>
      <c r="I75" s="9">
        <v>0.6</v>
      </c>
      <c r="J75" s="9">
        <v>3.8</v>
      </c>
      <c r="K75" s="9"/>
      <c r="L75" s="8">
        <f t="shared" ref="L75:L110" si="4">H75*I75*J75</f>
        <v>2.964</v>
      </c>
      <c r="M75" s="9">
        <v>45</v>
      </c>
      <c r="N75" s="9">
        <f t="shared" ref="N75:N106" si="5">L75*3600/M75*0.764555</f>
        <v>181.29128159999999</v>
      </c>
    </row>
    <row r="76" spans="2:14" x14ac:dyDescent="0.2">
      <c r="B76" s="7">
        <v>66</v>
      </c>
      <c r="C76" s="7"/>
      <c r="D76" s="7"/>
      <c r="E76" s="7"/>
      <c r="F76" s="7"/>
      <c r="G76" s="7" t="s">
        <v>30</v>
      </c>
      <c r="H76" s="7">
        <v>1.3</v>
      </c>
      <c r="I76" s="7">
        <v>0.6</v>
      </c>
      <c r="J76" s="7">
        <v>3.8</v>
      </c>
      <c r="K76" s="7"/>
      <c r="L76" s="7">
        <f t="shared" si="4"/>
        <v>2.964</v>
      </c>
      <c r="M76" s="7">
        <v>51</v>
      </c>
      <c r="N76" s="7">
        <f t="shared" si="5"/>
        <v>159.96289552941175</v>
      </c>
    </row>
    <row r="77" spans="2:14" x14ac:dyDescent="0.2">
      <c r="B77" s="8">
        <v>67</v>
      </c>
      <c r="C77" s="8"/>
      <c r="D77" s="8"/>
      <c r="E77" s="8"/>
      <c r="F77" s="8"/>
      <c r="G77" s="8" t="s">
        <v>30</v>
      </c>
      <c r="H77" s="8">
        <v>1.3</v>
      </c>
      <c r="I77" s="8">
        <v>0.6</v>
      </c>
      <c r="J77" s="8">
        <v>3.8</v>
      </c>
      <c r="K77" s="8"/>
      <c r="L77" s="8">
        <f t="shared" si="4"/>
        <v>2.964</v>
      </c>
      <c r="M77" s="8">
        <v>76</v>
      </c>
      <c r="N77" s="8">
        <f t="shared" si="5"/>
        <v>107.34352200000001</v>
      </c>
    </row>
    <row r="78" spans="2:14" x14ac:dyDescent="0.2">
      <c r="B78" s="8">
        <v>68</v>
      </c>
      <c r="C78" s="8"/>
      <c r="D78" s="8"/>
      <c r="E78" s="8"/>
      <c r="F78" s="8"/>
      <c r="G78" s="8" t="s">
        <v>30</v>
      </c>
      <c r="H78" s="8">
        <v>1.3</v>
      </c>
      <c r="I78" s="8">
        <v>0.6</v>
      </c>
      <c r="J78" s="8">
        <v>3.8</v>
      </c>
      <c r="K78" s="8"/>
      <c r="L78" s="8">
        <f t="shared" si="4"/>
        <v>2.964</v>
      </c>
      <c r="M78" s="8">
        <v>63</v>
      </c>
      <c r="N78" s="8">
        <f t="shared" si="5"/>
        <v>129.49377257142856</v>
      </c>
    </row>
    <row r="79" spans="2:14" x14ac:dyDescent="0.2">
      <c r="B79" s="8">
        <v>69</v>
      </c>
      <c r="C79" s="8"/>
      <c r="D79" s="8"/>
      <c r="E79" s="8"/>
      <c r="F79" s="8"/>
      <c r="G79" s="8" t="s">
        <v>30</v>
      </c>
      <c r="H79" s="8">
        <v>1.3</v>
      </c>
      <c r="I79" s="8">
        <v>0.6</v>
      </c>
      <c r="J79" s="8">
        <v>3.8</v>
      </c>
      <c r="K79" s="8"/>
      <c r="L79" s="8">
        <f t="shared" si="4"/>
        <v>2.964</v>
      </c>
      <c r="M79" s="8">
        <v>122</v>
      </c>
      <c r="N79" s="8">
        <f t="shared" si="5"/>
        <v>66.869735016393435</v>
      </c>
    </row>
    <row r="80" spans="2:14" ht="16.5" customHeight="1" thickBot="1" x14ac:dyDescent="0.25">
      <c r="B80" s="9">
        <v>70</v>
      </c>
      <c r="C80" s="9"/>
      <c r="D80" s="9"/>
      <c r="E80" s="9"/>
      <c r="F80" s="9"/>
      <c r="G80" s="9" t="s">
        <v>30</v>
      </c>
      <c r="H80" s="9">
        <v>1.3</v>
      </c>
      <c r="I80" s="9">
        <v>0.6</v>
      </c>
      <c r="J80" s="9">
        <v>3.8</v>
      </c>
      <c r="K80" s="9"/>
      <c r="L80" s="8">
        <f t="shared" si="4"/>
        <v>2.964</v>
      </c>
      <c r="M80" s="9">
        <v>111</v>
      </c>
      <c r="N80" s="9">
        <f t="shared" si="5"/>
        <v>73.496465513513513</v>
      </c>
    </row>
    <row r="81" spans="2:14" x14ac:dyDescent="0.2">
      <c r="B81" s="7">
        <v>71</v>
      </c>
      <c r="C81" s="7"/>
      <c r="D81" s="7"/>
      <c r="E81" s="7"/>
      <c r="F81" s="7"/>
      <c r="G81" s="7" t="s">
        <v>30</v>
      </c>
      <c r="H81" s="7">
        <v>1.3</v>
      </c>
      <c r="I81" s="7">
        <v>0.6</v>
      </c>
      <c r="J81" s="7">
        <v>3.8</v>
      </c>
      <c r="K81" s="7"/>
      <c r="L81" s="7">
        <f t="shared" si="4"/>
        <v>2.964</v>
      </c>
      <c r="M81" s="7">
        <v>81</v>
      </c>
      <c r="N81" s="7">
        <f t="shared" si="5"/>
        <v>100.71737866666666</v>
      </c>
    </row>
    <row r="82" spans="2:14" x14ac:dyDescent="0.2">
      <c r="B82" s="8">
        <v>72</v>
      </c>
      <c r="C82" s="8"/>
      <c r="D82" s="8"/>
      <c r="E82" s="8"/>
      <c r="F82" s="8"/>
      <c r="G82" s="8" t="s">
        <v>30</v>
      </c>
      <c r="H82" s="8">
        <v>1.3</v>
      </c>
      <c r="I82" s="8">
        <v>0.6</v>
      </c>
      <c r="J82" s="8">
        <v>3.8</v>
      </c>
      <c r="K82" s="8"/>
      <c r="L82" s="8">
        <f t="shared" si="4"/>
        <v>2.964</v>
      </c>
      <c r="M82" s="8">
        <v>67</v>
      </c>
      <c r="N82" s="8">
        <f t="shared" si="5"/>
        <v>121.76280107462686</v>
      </c>
    </row>
    <row r="83" spans="2:14" x14ac:dyDescent="0.2">
      <c r="B83" s="8">
        <v>73</v>
      </c>
      <c r="C83" s="8"/>
      <c r="D83" s="8"/>
      <c r="E83" s="8"/>
      <c r="F83" s="8"/>
      <c r="G83" s="8" t="s">
        <v>30</v>
      </c>
      <c r="H83" s="8">
        <v>1.3</v>
      </c>
      <c r="I83" s="8">
        <v>0.6</v>
      </c>
      <c r="J83" s="8">
        <v>3.8</v>
      </c>
      <c r="K83" s="8"/>
      <c r="L83" s="8">
        <f t="shared" si="4"/>
        <v>2.964</v>
      </c>
      <c r="M83" s="8">
        <v>54</v>
      </c>
      <c r="N83" s="8">
        <f t="shared" si="5"/>
        <v>151.07606799999999</v>
      </c>
    </row>
    <row r="84" spans="2:14" x14ac:dyDescent="0.2">
      <c r="B84" s="8">
        <v>74</v>
      </c>
      <c r="C84" s="8"/>
      <c r="D84" s="8"/>
      <c r="E84" s="8"/>
      <c r="F84" s="8"/>
      <c r="G84" s="8" t="s">
        <v>30</v>
      </c>
      <c r="H84" s="8">
        <v>1.3</v>
      </c>
      <c r="I84" s="8">
        <v>0.6</v>
      </c>
      <c r="J84" s="8">
        <v>3.8</v>
      </c>
      <c r="K84" s="8"/>
      <c r="L84" s="8">
        <f t="shared" si="4"/>
        <v>2.964</v>
      </c>
      <c r="M84" s="8">
        <v>60</v>
      </c>
      <c r="N84" s="8">
        <f t="shared" si="5"/>
        <v>135.96846120000001</v>
      </c>
    </row>
    <row r="85" spans="2:14" ht="16.5" customHeight="1" thickBot="1" x14ac:dyDescent="0.25">
      <c r="B85" s="9">
        <v>75</v>
      </c>
      <c r="C85" s="9"/>
      <c r="D85" s="9"/>
      <c r="E85" s="9"/>
      <c r="F85" s="9"/>
      <c r="G85" s="9" t="s">
        <v>30</v>
      </c>
      <c r="H85" s="9">
        <v>1.3</v>
      </c>
      <c r="I85" s="9">
        <v>0.6</v>
      </c>
      <c r="J85" s="9">
        <v>3.8</v>
      </c>
      <c r="K85" s="9"/>
      <c r="L85" s="8">
        <f t="shared" si="4"/>
        <v>2.964</v>
      </c>
      <c r="M85" s="9">
        <v>68</v>
      </c>
      <c r="N85" s="9">
        <f t="shared" si="5"/>
        <v>119.97217164705881</v>
      </c>
    </row>
    <row r="86" spans="2:14" x14ac:dyDescent="0.2">
      <c r="B86" s="7">
        <v>76</v>
      </c>
      <c r="C86" s="7"/>
      <c r="D86" s="7"/>
      <c r="E86" s="7"/>
      <c r="F86" s="7"/>
      <c r="G86" s="7" t="s">
        <v>30</v>
      </c>
      <c r="H86" s="7">
        <v>1.3</v>
      </c>
      <c r="I86" s="7">
        <v>0.6</v>
      </c>
      <c r="J86" s="7">
        <v>3.8</v>
      </c>
      <c r="K86" s="7"/>
      <c r="L86" s="7">
        <f t="shared" si="4"/>
        <v>2.964</v>
      </c>
      <c r="M86" s="7">
        <v>65</v>
      </c>
      <c r="N86" s="7">
        <f t="shared" si="5"/>
        <v>125.5093488</v>
      </c>
    </row>
    <row r="87" spans="2:14" x14ac:dyDescent="0.2">
      <c r="B87" s="8">
        <v>77</v>
      </c>
      <c r="C87" s="8"/>
      <c r="D87" s="8"/>
      <c r="E87" s="8"/>
      <c r="F87" s="8"/>
      <c r="G87" s="8" t="s">
        <v>30</v>
      </c>
      <c r="H87" s="8">
        <v>1.3</v>
      </c>
      <c r="I87" s="8">
        <v>0.6</v>
      </c>
      <c r="J87" s="8">
        <v>3.8</v>
      </c>
      <c r="K87" s="8"/>
      <c r="L87" s="8">
        <f t="shared" si="4"/>
        <v>2.964</v>
      </c>
      <c r="M87" s="8">
        <v>81</v>
      </c>
      <c r="N87" s="8">
        <f t="shared" si="5"/>
        <v>100.71737866666666</v>
      </c>
    </row>
    <row r="88" spans="2:14" x14ac:dyDescent="0.2">
      <c r="B88" s="8">
        <v>78</v>
      </c>
      <c r="C88" s="8"/>
      <c r="D88" s="8"/>
      <c r="E88" s="8"/>
      <c r="F88" s="8"/>
      <c r="G88" s="8" t="s">
        <v>30</v>
      </c>
      <c r="H88" s="8">
        <v>1.3</v>
      </c>
      <c r="I88" s="8">
        <v>0.6</v>
      </c>
      <c r="J88" s="8">
        <v>3.8</v>
      </c>
      <c r="K88" s="8"/>
      <c r="L88" s="8">
        <f t="shared" si="4"/>
        <v>2.964</v>
      </c>
      <c r="M88" s="8">
        <v>87</v>
      </c>
      <c r="N88" s="8">
        <f t="shared" si="5"/>
        <v>93.771352551724135</v>
      </c>
    </row>
    <row r="89" spans="2:14" x14ac:dyDescent="0.2">
      <c r="B89" s="8">
        <v>79</v>
      </c>
      <c r="C89" s="8"/>
      <c r="D89" s="8"/>
      <c r="E89" s="8"/>
      <c r="F89" s="8"/>
      <c r="G89" s="8" t="s">
        <v>30</v>
      </c>
      <c r="H89" s="8">
        <v>1.3</v>
      </c>
      <c r="I89" s="8">
        <v>0.6</v>
      </c>
      <c r="J89" s="8">
        <v>3.8</v>
      </c>
      <c r="K89" s="8"/>
      <c r="L89" s="8">
        <f t="shared" si="4"/>
        <v>2.964</v>
      </c>
      <c r="M89" s="8">
        <v>57</v>
      </c>
      <c r="N89" s="8">
        <f t="shared" si="5"/>
        <v>143.124696</v>
      </c>
    </row>
    <row r="90" spans="2:14" ht="16.5" customHeight="1" thickBot="1" x14ac:dyDescent="0.25">
      <c r="B90" s="9">
        <v>80</v>
      </c>
      <c r="C90" s="9"/>
      <c r="D90" s="9"/>
      <c r="E90" s="9"/>
      <c r="F90" s="9"/>
      <c r="G90" s="9" t="s">
        <v>30</v>
      </c>
      <c r="H90" s="9">
        <v>1.3</v>
      </c>
      <c r="I90" s="9">
        <v>0.6</v>
      </c>
      <c r="J90" s="9">
        <v>3.8</v>
      </c>
      <c r="K90" s="9"/>
      <c r="L90" s="8">
        <f t="shared" si="4"/>
        <v>2.964</v>
      </c>
      <c r="M90" s="9">
        <v>65</v>
      </c>
      <c r="N90" s="9">
        <f t="shared" si="5"/>
        <v>125.5093488</v>
      </c>
    </row>
    <row r="91" spans="2:14" x14ac:dyDescent="0.2">
      <c r="B91" s="7">
        <v>81</v>
      </c>
      <c r="C91" s="7"/>
      <c r="D91" s="7"/>
      <c r="E91" s="7"/>
      <c r="F91" s="7"/>
      <c r="G91" s="7" t="s">
        <v>30</v>
      </c>
      <c r="H91" s="7">
        <v>1.3</v>
      </c>
      <c r="I91" s="7">
        <v>0.6</v>
      </c>
      <c r="J91" s="7">
        <v>3.8</v>
      </c>
      <c r="K91" s="7"/>
      <c r="L91" s="7">
        <f t="shared" si="4"/>
        <v>2.964</v>
      </c>
      <c r="M91" s="7">
        <v>77</v>
      </c>
      <c r="N91" s="7">
        <f t="shared" si="5"/>
        <v>105.94945028571428</v>
      </c>
    </row>
    <row r="92" spans="2:14" x14ac:dyDescent="0.2">
      <c r="B92" s="8">
        <v>82</v>
      </c>
      <c r="C92" s="8"/>
      <c r="D92" s="8"/>
      <c r="E92" s="8"/>
      <c r="F92" s="8"/>
      <c r="G92" s="8" t="s">
        <v>30</v>
      </c>
      <c r="H92" s="8">
        <v>1.3</v>
      </c>
      <c r="I92" s="8">
        <v>0.6</v>
      </c>
      <c r="J92" s="8">
        <v>3.8</v>
      </c>
      <c r="K92" s="8"/>
      <c r="L92" s="8">
        <f t="shared" si="4"/>
        <v>2.964</v>
      </c>
      <c r="M92" s="8">
        <v>74</v>
      </c>
      <c r="N92" s="8">
        <f t="shared" si="5"/>
        <v>110.24469827027025</v>
      </c>
    </row>
    <row r="93" spans="2:14" x14ac:dyDescent="0.2">
      <c r="B93" s="8">
        <v>83</v>
      </c>
      <c r="C93" s="8"/>
      <c r="D93" s="8"/>
      <c r="E93" s="8"/>
      <c r="F93" s="8"/>
      <c r="G93" s="8" t="s">
        <v>30</v>
      </c>
      <c r="H93" s="8">
        <v>1.3</v>
      </c>
      <c r="I93" s="8">
        <v>0.6</v>
      </c>
      <c r="J93" s="8">
        <v>3.8</v>
      </c>
      <c r="K93" s="8"/>
      <c r="L93" s="8">
        <f t="shared" si="4"/>
        <v>2.964</v>
      </c>
      <c r="M93" s="8">
        <v>65</v>
      </c>
      <c r="N93" s="8">
        <f t="shared" si="5"/>
        <v>125.5093488</v>
      </c>
    </row>
    <row r="94" spans="2:14" x14ac:dyDescent="0.2">
      <c r="B94" s="8">
        <v>84</v>
      </c>
      <c r="C94" s="8"/>
      <c r="D94" s="8"/>
      <c r="E94" s="8"/>
      <c r="F94" s="8"/>
      <c r="G94" s="8" t="s">
        <v>30</v>
      </c>
      <c r="H94" s="8">
        <v>1.3</v>
      </c>
      <c r="I94" s="8">
        <v>0.6</v>
      </c>
      <c r="J94" s="8">
        <v>3.8</v>
      </c>
      <c r="K94" s="8"/>
      <c r="L94" s="8">
        <f t="shared" si="4"/>
        <v>2.964</v>
      </c>
      <c r="M94" s="8">
        <v>83</v>
      </c>
      <c r="N94" s="8">
        <f t="shared" si="5"/>
        <v>98.290453879518054</v>
      </c>
    </row>
    <row r="95" spans="2:14" ht="16.5" customHeight="1" thickBot="1" x14ac:dyDescent="0.25">
      <c r="B95" s="9">
        <v>85</v>
      </c>
      <c r="C95" s="9"/>
      <c r="D95" s="9"/>
      <c r="E95" s="9"/>
      <c r="F95" s="9"/>
      <c r="G95" s="9" t="s">
        <v>30</v>
      </c>
      <c r="H95" s="9">
        <v>1.3</v>
      </c>
      <c r="I95" s="9">
        <v>0.6</v>
      </c>
      <c r="J95" s="9">
        <v>3.8</v>
      </c>
      <c r="K95" s="9"/>
      <c r="L95" s="8">
        <f t="shared" si="4"/>
        <v>2.964</v>
      </c>
      <c r="M95" s="9">
        <v>50</v>
      </c>
      <c r="N95" s="9">
        <f t="shared" si="5"/>
        <v>163.16215344</v>
      </c>
    </row>
    <row r="96" spans="2:14" x14ac:dyDescent="0.2">
      <c r="B96" s="7">
        <v>86</v>
      </c>
      <c r="C96" s="7"/>
      <c r="D96" s="7"/>
      <c r="E96" s="7"/>
      <c r="F96" s="7"/>
      <c r="G96" s="7" t="s">
        <v>30</v>
      </c>
      <c r="H96" s="7">
        <v>1.3</v>
      </c>
      <c r="I96" s="7">
        <v>0.6</v>
      </c>
      <c r="J96" s="7">
        <v>3.8</v>
      </c>
      <c r="K96" s="7"/>
      <c r="L96" s="7">
        <f t="shared" si="4"/>
        <v>2.964</v>
      </c>
      <c r="M96" s="7">
        <v>43</v>
      </c>
      <c r="N96" s="7">
        <f t="shared" si="5"/>
        <v>189.72343423255813</v>
      </c>
    </row>
    <row r="97" spans="2:14" x14ac:dyDescent="0.2">
      <c r="B97" s="8">
        <v>87</v>
      </c>
      <c r="C97" s="8"/>
      <c r="D97" s="8"/>
      <c r="E97" s="8"/>
      <c r="F97" s="8"/>
      <c r="G97" s="8" t="s">
        <v>30</v>
      </c>
      <c r="H97" s="8">
        <v>1.3</v>
      </c>
      <c r="I97" s="8">
        <v>0.6</v>
      </c>
      <c r="J97" s="8">
        <v>3.8</v>
      </c>
      <c r="K97" s="8"/>
      <c r="L97" s="8">
        <f t="shared" si="4"/>
        <v>2.964</v>
      </c>
      <c r="M97" s="8">
        <v>61</v>
      </c>
      <c r="N97" s="8">
        <f t="shared" si="5"/>
        <v>133.73947003278687</v>
      </c>
    </row>
    <row r="98" spans="2:14" x14ac:dyDescent="0.2">
      <c r="B98" s="8">
        <v>88</v>
      </c>
      <c r="C98" s="8"/>
      <c r="D98" s="8"/>
      <c r="E98" s="8"/>
      <c r="F98" s="8"/>
      <c r="G98" s="8" t="s">
        <v>30</v>
      </c>
      <c r="H98" s="8">
        <v>1.3</v>
      </c>
      <c r="I98" s="8">
        <v>0.6</v>
      </c>
      <c r="J98" s="8">
        <v>3.8</v>
      </c>
      <c r="K98" s="8"/>
      <c r="L98" s="8">
        <f t="shared" si="4"/>
        <v>2.964</v>
      </c>
      <c r="M98" s="8">
        <v>40</v>
      </c>
      <c r="N98" s="8">
        <f t="shared" si="5"/>
        <v>203.9526918</v>
      </c>
    </row>
    <row r="99" spans="2:14" x14ac:dyDescent="0.2">
      <c r="B99" s="8">
        <v>89</v>
      </c>
      <c r="C99" s="8"/>
      <c r="D99" s="8"/>
      <c r="E99" s="8"/>
      <c r="F99" s="8"/>
      <c r="G99" s="8" t="s">
        <v>30</v>
      </c>
      <c r="H99" s="8">
        <v>1.3</v>
      </c>
      <c r="I99" s="8">
        <v>0.6</v>
      </c>
      <c r="J99" s="8">
        <v>3.8</v>
      </c>
      <c r="K99" s="8"/>
      <c r="L99" s="8">
        <f t="shared" si="4"/>
        <v>2.964</v>
      </c>
      <c r="M99" s="8">
        <v>57</v>
      </c>
      <c r="N99" s="8">
        <f t="shared" si="5"/>
        <v>143.124696</v>
      </c>
    </row>
    <row r="100" spans="2:14" ht="16.5" customHeight="1" thickBot="1" x14ac:dyDescent="0.25">
      <c r="B100" s="9">
        <v>90</v>
      </c>
      <c r="C100" s="9"/>
      <c r="D100" s="9"/>
      <c r="E100" s="9"/>
      <c r="F100" s="9"/>
      <c r="G100" s="9" t="s">
        <v>30</v>
      </c>
      <c r="H100" s="9">
        <v>1.3</v>
      </c>
      <c r="I100" s="9">
        <v>0.6</v>
      </c>
      <c r="J100" s="9">
        <v>3.8</v>
      </c>
      <c r="K100" s="9"/>
      <c r="L100" s="8">
        <f t="shared" si="4"/>
        <v>2.964</v>
      </c>
      <c r="M100" s="9">
        <v>91</v>
      </c>
      <c r="N100" s="9">
        <f t="shared" si="5"/>
        <v>89.649534857142854</v>
      </c>
    </row>
    <row r="101" spans="2:14" x14ac:dyDescent="0.2">
      <c r="B101" s="7">
        <v>91</v>
      </c>
      <c r="C101" s="7"/>
      <c r="D101" s="7"/>
      <c r="E101" s="7"/>
      <c r="F101" s="7"/>
      <c r="G101" s="7" t="s">
        <v>30</v>
      </c>
      <c r="H101" s="7">
        <v>1.3</v>
      </c>
      <c r="I101" s="7">
        <v>0.6</v>
      </c>
      <c r="J101" s="7">
        <v>3.8</v>
      </c>
      <c r="K101" s="7"/>
      <c r="L101" s="7">
        <f t="shared" si="4"/>
        <v>2.964</v>
      </c>
      <c r="M101" s="7">
        <v>59</v>
      </c>
      <c r="N101" s="7">
        <f t="shared" si="5"/>
        <v>138.27301138983049</v>
      </c>
    </row>
    <row r="102" spans="2:14" x14ac:dyDescent="0.2">
      <c r="B102" s="8">
        <v>92</v>
      </c>
      <c r="C102" s="8"/>
      <c r="D102" s="8"/>
      <c r="E102" s="8"/>
      <c r="F102" s="8"/>
      <c r="G102" s="8" t="s">
        <v>30</v>
      </c>
      <c r="H102" s="8">
        <v>1.3</v>
      </c>
      <c r="I102" s="8">
        <v>0.6</v>
      </c>
      <c r="J102" s="8">
        <v>3.8</v>
      </c>
      <c r="K102" s="8"/>
      <c r="L102" s="8">
        <f t="shared" si="4"/>
        <v>2.964</v>
      </c>
      <c r="M102" s="8">
        <v>123</v>
      </c>
      <c r="N102" s="8">
        <f t="shared" si="5"/>
        <v>66.326078634146342</v>
      </c>
    </row>
    <row r="103" spans="2:14" x14ac:dyDescent="0.2">
      <c r="B103" s="8">
        <v>93</v>
      </c>
      <c r="C103" s="8"/>
      <c r="D103" s="8"/>
      <c r="E103" s="8"/>
      <c r="F103" s="8"/>
      <c r="G103" s="8" t="s">
        <v>30</v>
      </c>
      <c r="H103" s="8">
        <v>1.3</v>
      </c>
      <c r="I103" s="8">
        <v>0.6</v>
      </c>
      <c r="J103" s="8">
        <v>3.8</v>
      </c>
      <c r="K103" s="8"/>
      <c r="L103" s="8">
        <f t="shared" si="4"/>
        <v>2.964</v>
      </c>
      <c r="M103" s="8">
        <v>52</v>
      </c>
      <c r="N103" s="8">
        <f t="shared" si="5"/>
        <v>156.886686</v>
      </c>
    </row>
    <row r="104" spans="2:14" x14ac:dyDescent="0.2">
      <c r="B104" s="8">
        <v>94</v>
      </c>
      <c r="C104" s="8"/>
      <c r="D104" s="8"/>
      <c r="E104" s="8"/>
      <c r="F104" s="8"/>
      <c r="G104" s="8" t="s">
        <v>30</v>
      </c>
      <c r="H104" s="8">
        <v>1.3</v>
      </c>
      <c r="I104" s="8">
        <v>0.6</v>
      </c>
      <c r="J104" s="8">
        <v>3.8</v>
      </c>
      <c r="K104" s="8"/>
      <c r="L104" s="8">
        <f t="shared" si="4"/>
        <v>2.964</v>
      </c>
      <c r="M104" s="8">
        <v>135</v>
      </c>
      <c r="N104" s="8">
        <f t="shared" si="5"/>
        <v>60.43042719999999</v>
      </c>
    </row>
    <row r="105" spans="2:14" ht="16.5" customHeight="1" thickBot="1" x14ac:dyDescent="0.25">
      <c r="B105" s="9">
        <v>95</v>
      </c>
      <c r="C105" s="9"/>
      <c r="D105" s="9"/>
      <c r="E105" s="9"/>
      <c r="F105" s="9"/>
      <c r="G105" s="9" t="s">
        <v>30</v>
      </c>
      <c r="H105" s="9">
        <v>1.3</v>
      </c>
      <c r="I105" s="9">
        <v>0.6</v>
      </c>
      <c r="J105" s="9">
        <v>3.8</v>
      </c>
      <c r="K105" s="9"/>
      <c r="L105" s="8">
        <f t="shared" si="4"/>
        <v>2.964</v>
      </c>
      <c r="M105" s="9">
        <v>107</v>
      </c>
      <c r="N105" s="9">
        <f t="shared" si="5"/>
        <v>76.243996934579442</v>
      </c>
    </row>
    <row r="106" spans="2:14" x14ac:dyDescent="0.2">
      <c r="B106" s="7">
        <v>96</v>
      </c>
      <c r="C106" s="7"/>
      <c r="D106" s="7"/>
      <c r="E106" s="7"/>
      <c r="F106" s="7"/>
      <c r="G106" s="7" t="s">
        <v>30</v>
      </c>
      <c r="H106" s="7">
        <v>1.3</v>
      </c>
      <c r="I106" s="7">
        <v>0.6</v>
      </c>
      <c r="J106" s="7">
        <v>3.8</v>
      </c>
      <c r="K106" s="7"/>
      <c r="L106" s="7">
        <f t="shared" si="4"/>
        <v>2.964</v>
      </c>
      <c r="M106" s="7">
        <v>43</v>
      </c>
      <c r="N106" s="7">
        <f t="shared" si="5"/>
        <v>189.72343423255813</v>
      </c>
    </row>
    <row r="107" spans="2:14" x14ac:dyDescent="0.2">
      <c r="B107" s="8">
        <v>97</v>
      </c>
      <c r="C107" s="8"/>
      <c r="D107" s="8"/>
      <c r="E107" s="8"/>
      <c r="F107" s="8"/>
      <c r="G107" s="8" t="s">
        <v>30</v>
      </c>
      <c r="H107" s="8">
        <v>1.3</v>
      </c>
      <c r="I107" s="8">
        <v>0.6</v>
      </c>
      <c r="J107" s="8">
        <v>3.8</v>
      </c>
      <c r="K107" s="8"/>
      <c r="L107" s="8">
        <f t="shared" si="4"/>
        <v>2.964</v>
      </c>
      <c r="M107" s="8">
        <v>130</v>
      </c>
      <c r="N107" s="8">
        <f t="shared" ref="N107:N138" si="6">L107*3600/M107*0.764555</f>
        <v>62.754674399999999</v>
      </c>
    </row>
    <row r="108" spans="2:14" x14ac:dyDescent="0.2">
      <c r="B108" s="8">
        <v>98</v>
      </c>
      <c r="C108" s="8"/>
      <c r="D108" s="8"/>
      <c r="E108" s="8"/>
      <c r="F108" s="8"/>
      <c r="G108" s="8" t="s">
        <v>30</v>
      </c>
      <c r="H108" s="8">
        <v>1.3</v>
      </c>
      <c r="I108" s="8">
        <v>0.6</v>
      </c>
      <c r="J108" s="8">
        <v>3.8</v>
      </c>
      <c r="K108" s="8"/>
      <c r="L108" s="8">
        <f t="shared" si="4"/>
        <v>2.964</v>
      </c>
      <c r="M108" s="8">
        <v>74</v>
      </c>
      <c r="N108" s="8">
        <f t="shared" si="6"/>
        <v>110.24469827027025</v>
      </c>
    </row>
    <row r="109" spans="2:14" x14ac:dyDescent="0.2">
      <c r="B109" s="8">
        <v>99</v>
      </c>
      <c r="C109" s="8"/>
      <c r="D109" s="8"/>
      <c r="E109" s="8"/>
      <c r="F109" s="8"/>
      <c r="G109" s="8" t="s">
        <v>30</v>
      </c>
      <c r="H109" s="8">
        <v>1.3</v>
      </c>
      <c r="I109" s="8">
        <v>0.6</v>
      </c>
      <c r="J109" s="8">
        <v>3.8</v>
      </c>
      <c r="K109" s="8"/>
      <c r="L109" s="8">
        <f t="shared" si="4"/>
        <v>2.964</v>
      </c>
      <c r="M109" s="8">
        <v>83</v>
      </c>
      <c r="N109" s="8">
        <f t="shared" si="6"/>
        <v>98.290453879518054</v>
      </c>
    </row>
    <row r="110" spans="2:14" ht="16.5" customHeight="1" thickBot="1" x14ac:dyDescent="0.25">
      <c r="B110" s="9">
        <v>100</v>
      </c>
      <c r="C110" s="9"/>
      <c r="D110" s="9"/>
      <c r="E110" s="9"/>
      <c r="F110" s="9"/>
      <c r="G110" s="9" t="s">
        <v>30</v>
      </c>
      <c r="H110" s="9">
        <v>1.3</v>
      </c>
      <c r="I110" s="9">
        <v>0.6</v>
      </c>
      <c r="J110" s="9">
        <v>3.8</v>
      </c>
      <c r="K110" s="9"/>
      <c r="L110" s="8">
        <f t="shared" si="4"/>
        <v>2.964</v>
      </c>
      <c r="M110" s="9">
        <v>43</v>
      </c>
      <c r="N110" s="9">
        <f t="shared" si="6"/>
        <v>189.72343423255813</v>
      </c>
    </row>
    <row r="111" spans="2:14" x14ac:dyDescent="0.2">
      <c r="B111" s="42" t="s">
        <v>32</v>
      </c>
      <c r="C111" s="43"/>
      <c r="D111" s="43"/>
      <c r="E111" s="43"/>
      <c r="F111" s="43"/>
      <c r="G111" s="43"/>
      <c r="H111" s="1">
        <f>AVERAGE(H11:H110)</f>
        <v>1.2999999999999983</v>
      </c>
      <c r="I111" s="1">
        <f>AVERAGE(I11:I110)</f>
        <v>0.60000000000000098</v>
      </c>
      <c r="J111" s="1">
        <f>AVERAGE(J11:J110)</f>
        <v>3.8000000000000069</v>
      </c>
      <c r="L111" s="1">
        <f>AVERAGE(L11:L110)</f>
        <v>2.9639999999999991</v>
      </c>
      <c r="M111" s="1">
        <f>AVERAGE(M11:M110)</f>
        <v>87.73</v>
      </c>
      <c r="N111" s="1">
        <f>AVERAGE(N11:N110)</f>
        <v>106.26267901342439</v>
      </c>
    </row>
  </sheetData>
  <mergeCells count="21">
    <mergeCell ref="B2:N2"/>
    <mergeCell ref="R9:R10"/>
    <mergeCell ref="G9:G10"/>
    <mergeCell ref="K9:K10"/>
    <mergeCell ref="B1:N1"/>
    <mergeCell ref="M9:M10"/>
    <mergeCell ref="O9:O10"/>
    <mergeCell ref="H9:J9"/>
    <mergeCell ref="Q9:Q10"/>
    <mergeCell ref="G6:H6"/>
    <mergeCell ref="B3:N3"/>
    <mergeCell ref="B9:B10"/>
    <mergeCell ref="D9:D10"/>
    <mergeCell ref="F9:F10"/>
    <mergeCell ref="L9:L10"/>
    <mergeCell ref="N9:N10"/>
    <mergeCell ref="B111:G111"/>
    <mergeCell ref="P9:P10"/>
    <mergeCell ref="C9:C10"/>
    <mergeCell ref="E9:E10"/>
    <mergeCell ref="B4:N4"/>
  </mergeCells>
  <pageMargins left="0.23622047244094491" right="0.23622047244094491" top="0.74803149606299213" bottom="0.74803149606299213" header="0.31496062992125978" footer="0.31496062992125978"/>
  <pageSetup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4"/>
  <sheetViews>
    <sheetView view="pageBreakPreview" topLeftCell="O104" zoomScale="66" zoomScaleNormal="60" zoomScaleSheetLayoutView="55" zoomScalePageLayoutView="60" workbookViewId="0">
      <selection activeCell="W116" sqref="W116"/>
    </sheetView>
  </sheetViews>
  <sheetFormatPr defaultColWidth="9.140625" defaultRowHeight="15.75" x14ac:dyDescent="0.2"/>
  <cols>
    <col min="1" max="1" width="29.28515625" style="15" customWidth="1"/>
    <col min="2" max="2" width="15.7109375" style="15" customWidth="1"/>
    <col min="3" max="6" width="17.140625" style="15" customWidth="1"/>
    <col min="7" max="7" width="28.140625" style="15" customWidth="1"/>
    <col min="8" max="9" width="16.42578125" style="15" customWidth="1"/>
    <col min="10" max="10" width="28.28515625" style="15" customWidth="1"/>
    <col min="11" max="13" width="16.42578125" style="15" customWidth="1"/>
    <col min="14" max="14" width="32" style="15" customWidth="1"/>
    <col min="15" max="15" width="21.7109375" style="15" customWidth="1"/>
    <col min="16" max="16" width="21.42578125" style="15" customWidth="1"/>
    <col min="17" max="17" width="20" style="15" customWidth="1"/>
    <col min="18" max="18" width="19.85546875" style="15" customWidth="1"/>
    <col min="19" max="19" width="19.7109375" style="15" customWidth="1"/>
    <col min="20" max="20" width="16.42578125" style="15" customWidth="1"/>
    <col min="21" max="21" width="9.140625" style="15" customWidth="1"/>
    <col min="22" max="22" width="17.28515625" style="15" bestFit="1" customWidth="1"/>
    <col min="23" max="23" width="18.140625" style="15" customWidth="1"/>
    <col min="24" max="24" width="11.140625" style="15" bestFit="1" customWidth="1"/>
    <col min="25" max="25" width="12" style="15" customWidth="1"/>
    <col min="26" max="26" width="20.42578125" style="15" customWidth="1"/>
    <col min="27" max="27" width="12" style="15" customWidth="1"/>
    <col min="28" max="28" width="9.140625" style="15" customWidth="1"/>
    <col min="29" max="16384" width="9.140625" style="15"/>
  </cols>
  <sheetData>
    <row r="1" spans="1:27" ht="27" customHeight="1" x14ac:dyDescent="0.2">
      <c r="A1" s="51" t="s">
        <v>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12"/>
    </row>
    <row r="2" spans="1:27" ht="27" customHeight="1" x14ac:dyDescent="0.2">
      <c r="A2" s="51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12"/>
    </row>
    <row r="3" spans="1:27" ht="27" customHeight="1" x14ac:dyDescent="0.2">
      <c r="A3" s="50" t="s">
        <v>34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13"/>
    </row>
    <row r="4" spans="1:27" x14ac:dyDescent="0.2">
      <c r="A4" s="50" t="s">
        <v>35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13"/>
    </row>
    <row r="5" spans="1:27" ht="16.5" customHeight="1" thickBot="1" x14ac:dyDescent="0.25"/>
    <row r="6" spans="1:27" ht="27" customHeight="1" thickBot="1" x14ac:dyDescent="0.25">
      <c r="A6" s="16" t="s">
        <v>36</v>
      </c>
      <c r="B6" s="54"/>
      <c r="C6" s="49"/>
      <c r="F6" s="18" t="s">
        <v>6</v>
      </c>
      <c r="G6" s="17">
        <v>1</v>
      </c>
    </row>
    <row r="7" spans="1:27" ht="27" customHeight="1" thickBot="1" x14ac:dyDescent="0.25"/>
    <row r="8" spans="1:27" ht="27" customHeight="1" thickBot="1" x14ac:dyDescent="0.25">
      <c r="A8" s="16" t="s">
        <v>37</v>
      </c>
      <c r="B8" s="54"/>
      <c r="C8" s="49"/>
      <c r="F8" s="18" t="s">
        <v>38</v>
      </c>
      <c r="G8" s="17" t="s">
        <v>39</v>
      </c>
    </row>
    <row r="9" spans="1:27" ht="27" customHeight="1" thickBot="1" x14ac:dyDescent="0.25">
      <c r="A9" s="16" t="s">
        <v>40</v>
      </c>
      <c r="B9" s="54"/>
      <c r="C9" s="49"/>
    </row>
    <row r="10" spans="1:27" ht="15" customHeight="1" thickBot="1" x14ac:dyDescent="0.25">
      <c r="A10" s="19"/>
      <c r="B10" s="19"/>
    </row>
    <row r="11" spans="1:27" ht="32.25" customHeight="1" thickBot="1" x14ac:dyDescent="0.25">
      <c r="A11" s="44" t="s">
        <v>41</v>
      </c>
      <c r="B11" s="44" t="s">
        <v>42</v>
      </c>
      <c r="C11" s="44" t="s">
        <v>43</v>
      </c>
      <c r="D11" s="53"/>
      <c r="E11" s="53"/>
      <c r="F11" s="53"/>
      <c r="G11" s="53"/>
      <c r="H11" s="49"/>
      <c r="I11" s="14"/>
      <c r="J11" s="14"/>
      <c r="K11" s="14"/>
      <c r="L11" s="14"/>
      <c r="M11" s="20"/>
      <c r="O11" s="44" t="s">
        <v>44</v>
      </c>
      <c r="P11" s="53"/>
      <c r="Q11" s="53"/>
      <c r="R11" s="53"/>
      <c r="S11" s="53"/>
      <c r="T11" s="49"/>
      <c r="V11" s="44" t="s">
        <v>44</v>
      </c>
      <c r="W11" s="53"/>
      <c r="X11" s="53"/>
      <c r="Y11" s="53"/>
      <c r="Z11" s="53"/>
      <c r="AA11" s="49"/>
    </row>
    <row r="12" spans="1:27" ht="42.75" customHeight="1" thickBot="1" x14ac:dyDescent="0.25">
      <c r="A12" s="45"/>
      <c r="B12" s="45"/>
      <c r="C12" s="6" t="s">
        <v>45</v>
      </c>
      <c r="D12" s="6" t="s">
        <v>46</v>
      </c>
      <c r="E12" s="6" t="s">
        <v>47</v>
      </c>
      <c r="F12" s="6" t="s">
        <v>48</v>
      </c>
      <c r="G12" s="6" t="s">
        <v>49</v>
      </c>
      <c r="H12" s="6" t="s">
        <v>50</v>
      </c>
      <c r="I12" s="6" t="s">
        <v>51</v>
      </c>
      <c r="J12" s="6" t="s">
        <v>52</v>
      </c>
      <c r="K12" s="6" t="s">
        <v>53</v>
      </c>
      <c r="L12" s="6" t="s">
        <v>54</v>
      </c>
      <c r="M12" s="6" t="s">
        <v>55</v>
      </c>
      <c r="O12" s="6" t="s">
        <v>45</v>
      </c>
      <c r="P12" s="6" t="s">
        <v>46</v>
      </c>
      <c r="Q12" s="6" t="s">
        <v>47</v>
      </c>
      <c r="R12" s="6" t="s">
        <v>48</v>
      </c>
      <c r="S12" s="6" t="s">
        <v>49</v>
      </c>
      <c r="T12" s="6" t="s">
        <v>50</v>
      </c>
      <c r="V12" s="6" t="s">
        <v>45</v>
      </c>
      <c r="W12" s="6" t="s">
        <v>46</v>
      </c>
      <c r="X12" s="6" t="s">
        <v>47</v>
      </c>
      <c r="Y12" s="6" t="s">
        <v>48</v>
      </c>
      <c r="Z12" s="6" t="s">
        <v>49</v>
      </c>
      <c r="AA12" s="6" t="s">
        <v>50</v>
      </c>
    </row>
    <row r="13" spans="1:27" ht="33" customHeight="1" x14ac:dyDescent="0.2">
      <c r="A13" s="21">
        <v>1</v>
      </c>
      <c r="B13" s="22">
        <v>82</v>
      </c>
      <c r="C13" s="40">
        <f t="shared" ref="C13:C44" si="0">IF(SUM($V13:$AA13), ROUND(V13/SUM($V13:$AA13), 2),0)</f>
        <v>0</v>
      </c>
      <c r="D13" s="40">
        <f t="shared" ref="D13:D44" si="1">IF(SUM($V13:$AA13), ROUND(W13/SUM($V13:$AA13), 2),0)</f>
        <v>0</v>
      </c>
      <c r="E13" s="40">
        <f t="shared" ref="E13:E44" si="2">IF(SUM($V13:$AA13), ROUND(X13/SUM($V13:$AA13), 2),0)</f>
        <v>0</v>
      </c>
      <c r="F13" s="40">
        <f t="shared" ref="F13:F44" si="3">IF(SUM($V13:$AA13), ROUND(Y13/SUM($V13:$AA13), 2),0)</f>
        <v>0</v>
      </c>
      <c r="G13" s="40">
        <f t="shared" ref="G13:G44" si="4">IF(SUM($V13:$AA13), ROUND(Z13/SUM($V13:$AA13), 2),0)</f>
        <v>0</v>
      </c>
      <c r="H13" s="40">
        <f t="shared" ref="H13:H44" si="5">IF(SUM($V13:$AA13), ROUND(AA13/SUM($V13:$AA13), 2),0)</f>
        <v>0</v>
      </c>
      <c r="I13" s="23">
        <f t="shared" ref="I13:I44" si="6">SUM(C13:H13)</f>
        <v>0</v>
      </c>
      <c r="J13" s="23">
        <f t="shared" ref="J13:J44" si="7">IF(I13&gt;0,0,B13)</f>
        <v>82</v>
      </c>
      <c r="K13" s="23">
        <f t="shared" ref="K13:K44" si="8">IF(I13&gt;0,B13,0)</f>
        <v>0</v>
      </c>
      <c r="L13" s="24">
        <f t="shared" ref="L13:L44" si="9">IF(B13&gt;0,(ABS(B13-$J$115)),0)</f>
        <v>5.730000000000004</v>
      </c>
      <c r="M13" s="24">
        <f t="shared" ref="M13:M44" si="10">IF(I13&gt;0,0,L13)</f>
        <v>5.730000000000004</v>
      </c>
      <c r="O13" s="24">
        <f t="shared" ref="O13:O44" si="11">C13*$L13</f>
        <v>0</v>
      </c>
      <c r="P13" s="24">
        <f t="shared" ref="P13:P44" si="12">D13*$L13</f>
        <v>0</v>
      </c>
      <c r="Q13" s="24">
        <f t="shared" ref="Q13:Q44" si="13">E13*$L13</f>
        <v>0</v>
      </c>
      <c r="R13" s="24">
        <f t="shared" ref="R13:R44" si="14">F13*$L13</f>
        <v>0</v>
      </c>
      <c r="S13" s="24">
        <f t="shared" ref="S13:S44" si="15">G13*$L13</f>
        <v>0</v>
      </c>
      <c r="T13" s="24">
        <f t="shared" ref="T13:T44" si="16">H13*$L13</f>
        <v>0</v>
      </c>
      <c r="V13" s="24"/>
      <c r="W13" s="24"/>
      <c r="X13" s="24"/>
      <c r="Y13" s="24"/>
      <c r="Z13" s="24"/>
      <c r="AA13" s="24"/>
    </row>
    <row r="14" spans="1:27" ht="33" customHeight="1" x14ac:dyDescent="0.2">
      <c r="A14" s="21">
        <v>2</v>
      </c>
      <c r="B14" s="25">
        <v>94</v>
      </c>
      <c r="C14" s="40">
        <f t="shared" si="0"/>
        <v>0</v>
      </c>
      <c r="D14" s="40">
        <f t="shared" si="1"/>
        <v>0</v>
      </c>
      <c r="E14" s="40">
        <f t="shared" si="2"/>
        <v>0</v>
      </c>
      <c r="F14" s="40">
        <f t="shared" si="3"/>
        <v>0</v>
      </c>
      <c r="G14" s="40">
        <f t="shared" si="4"/>
        <v>0</v>
      </c>
      <c r="H14" s="40">
        <f t="shared" si="5"/>
        <v>0</v>
      </c>
      <c r="I14" s="23">
        <f t="shared" si="6"/>
        <v>0</v>
      </c>
      <c r="J14" s="23">
        <f t="shared" si="7"/>
        <v>94</v>
      </c>
      <c r="K14" s="23">
        <f t="shared" si="8"/>
        <v>0</v>
      </c>
      <c r="L14" s="24">
        <f t="shared" si="9"/>
        <v>6.269999999999996</v>
      </c>
      <c r="M14" s="24">
        <f t="shared" si="10"/>
        <v>6.269999999999996</v>
      </c>
      <c r="O14" s="24">
        <f t="shared" si="11"/>
        <v>0</v>
      </c>
      <c r="P14" s="24">
        <f t="shared" si="12"/>
        <v>0</v>
      </c>
      <c r="Q14" s="24">
        <f t="shared" si="13"/>
        <v>0</v>
      </c>
      <c r="R14" s="24">
        <f t="shared" si="14"/>
        <v>0</v>
      </c>
      <c r="S14" s="24">
        <f t="shared" si="15"/>
        <v>0</v>
      </c>
      <c r="T14" s="24">
        <f t="shared" si="16"/>
        <v>0</v>
      </c>
      <c r="V14" s="24"/>
      <c r="W14" s="24"/>
      <c r="X14" s="24"/>
      <c r="Y14" s="24"/>
      <c r="Z14" s="24"/>
      <c r="AA14" s="24"/>
    </row>
    <row r="15" spans="1:27" ht="33" customHeight="1" x14ac:dyDescent="0.2">
      <c r="A15" s="21">
        <v>3</v>
      </c>
      <c r="B15" s="25">
        <v>103</v>
      </c>
      <c r="C15" s="40">
        <f t="shared" si="0"/>
        <v>0</v>
      </c>
      <c r="D15" s="40">
        <f t="shared" si="1"/>
        <v>0</v>
      </c>
      <c r="E15" s="40">
        <f t="shared" si="2"/>
        <v>0</v>
      </c>
      <c r="F15" s="40">
        <f t="shared" si="3"/>
        <v>0</v>
      </c>
      <c r="G15" s="40">
        <f t="shared" si="4"/>
        <v>0</v>
      </c>
      <c r="H15" s="40">
        <f t="shared" si="5"/>
        <v>0</v>
      </c>
      <c r="I15" s="23">
        <f t="shared" si="6"/>
        <v>0</v>
      </c>
      <c r="J15" s="23">
        <f t="shared" si="7"/>
        <v>103</v>
      </c>
      <c r="K15" s="23">
        <f t="shared" si="8"/>
        <v>0</v>
      </c>
      <c r="L15" s="24">
        <f t="shared" si="9"/>
        <v>15.269999999999996</v>
      </c>
      <c r="M15" s="24">
        <f t="shared" si="10"/>
        <v>15.269999999999996</v>
      </c>
      <c r="O15" s="24">
        <f t="shared" si="11"/>
        <v>0</v>
      </c>
      <c r="P15" s="24">
        <f t="shared" si="12"/>
        <v>0</v>
      </c>
      <c r="Q15" s="24">
        <f t="shared" si="13"/>
        <v>0</v>
      </c>
      <c r="R15" s="24">
        <f t="shared" si="14"/>
        <v>0</v>
      </c>
      <c r="S15" s="24">
        <f t="shared" si="15"/>
        <v>0</v>
      </c>
      <c r="T15" s="24">
        <f t="shared" si="16"/>
        <v>0</v>
      </c>
      <c r="V15" s="24"/>
      <c r="W15" s="24"/>
      <c r="X15" s="24"/>
      <c r="Y15" s="24"/>
      <c r="Z15" s="24"/>
      <c r="AA15" s="24"/>
    </row>
    <row r="16" spans="1:27" ht="33" customHeight="1" x14ac:dyDescent="0.2">
      <c r="A16" s="21">
        <v>4</v>
      </c>
      <c r="B16" s="25">
        <v>116</v>
      </c>
      <c r="C16" s="40">
        <f t="shared" si="0"/>
        <v>0</v>
      </c>
      <c r="D16" s="40">
        <f t="shared" si="1"/>
        <v>0</v>
      </c>
      <c r="E16" s="40">
        <f t="shared" si="2"/>
        <v>0</v>
      </c>
      <c r="F16" s="40">
        <f t="shared" si="3"/>
        <v>0</v>
      </c>
      <c r="G16" s="40">
        <f t="shared" si="4"/>
        <v>0</v>
      </c>
      <c r="H16" s="40">
        <f t="shared" si="5"/>
        <v>0</v>
      </c>
      <c r="I16" s="23">
        <f t="shared" si="6"/>
        <v>0</v>
      </c>
      <c r="J16" s="23">
        <f t="shared" si="7"/>
        <v>116</v>
      </c>
      <c r="K16" s="23">
        <f t="shared" si="8"/>
        <v>0</v>
      </c>
      <c r="L16" s="24">
        <f t="shared" si="9"/>
        <v>28.269999999999996</v>
      </c>
      <c r="M16" s="24">
        <f t="shared" si="10"/>
        <v>28.269999999999996</v>
      </c>
      <c r="O16" s="24">
        <f t="shared" si="11"/>
        <v>0</v>
      </c>
      <c r="P16" s="24">
        <f t="shared" si="12"/>
        <v>0</v>
      </c>
      <c r="Q16" s="24">
        <f t="shared" si="13"/>
        <v>0</v>
      </c>
      <c r="R16" s="24">
        <f t="shared" si="14"/>
        <v>0</v>
      </c>
      <c r="S16" s="24">
        <f t="shared" si="15"/>
        <v>0</v>
      </c>
      <c r="T16" s="24">
        <f t="shared" si="16"/>
        <v>0</v>
      </c>
      <c r="V16" s="24"/>
      <c r="W16" s="24"/>
      <c r="X16" s="24"/>
      <c r="Y16" s="24"/>
      <c r="Z16" s="24"/>
      <c r="AA16" s="24"/>
    </row>
    <row r="17" spans="1:27" ht="33" customHeight="1" x14ac:dyDescent="0.2">
      <c r="A17" s="21">
        <v>5</v>
      </c>
      <c r="B17" s="25">
        <v>94</v>
      </c>
      <c r="C17" s="40">
        <f t="shared" si="0"/>
        <v>0</v>
      </c>
      <c r="D17" s="40">
        <f t="shared" si="1"/>
        <v>0</v>
      </c>
      <c r="E17" s="40">
        <f t="shared" si="2"/>
        <v>0</v>
      </c>
      <c r="F17" s="40">
        <f t="shared" si="3"/>
        <v>0</v>
      </c>
      <c r="G17" s="40">
        <f t="shared" si="4"/>
        <v>0</v>
      </c>
      <c r="H17" s="40">
        <f t="shared" si="5"/>
        <v>0</v>
      </c>
      <c r="I17" s="23">
        <f t="shared" si="6"/>
        <v>0</v>
      </c>
      <c r="J17" s="23">
        <f t="shared" si="7"/>
        <v>94</v>
      </c>
      <c r="K17" s="23">
        <f t="shared" si="8"/>
        <v>0</v>
      </c>
      <c r="L17" s="24">
        <f t="shared" si="9"/>
        <v>6.269999999999996</v>
      </c>
      <c r="M17" s="24">
        <f t="shared" si="10"/>
        <v>6.269999999999996</v>
      </c>
      <c r="O17" s="24">
        <f t="shared" si="11"/>
        <v>0</v>
      </c>
      <c r="P17" s="24">
        <f t="shared" si="12"/>
        <v>0</v>
      </c>
      <c r="Q17" s="24">
        <f t="shared" si="13"/>
        <v>0</v>
      </c>
      <c r="R17" s="24">
        <f t="shared" si="14"/>
        <v>0</v>
      </c>
      <c r="S17" s="24">
        <f t="shared" si="15"/>
        <v>0</v>
      </c>
      <c r="T17" s="24">
        <f t="shared" si="16"/>
        <v>0</v>
      </c>
      <c r="V17" s="24"/>
      <c r="W17" s="24"/>
      <c r="X17" s="24"/>
      <c r="Y17" s="24"/>
      <c r="Z17" s="24"/>
      <c r="AA17" s="24"/>
    </row>
    <row r="18" spans="1:27" ht="33" customHeight="1" x14ac:dyDescent="0.2">
      <c r="A18" s="21">
        <v>6</v>
      </c>
      <c r="B18" s="25">
        <v>49</v>
      </c>
      <c r="C18" s="40">
        <f t="shared" si="0"/>
        <v>0</v>
      </c>
      <c r="D18" s="40">
        <f t="shared" si="1"/>
        <v>0</v>
      </c>
      <c r="E18" s="40">
        <f t="shared" si="2"/>
        <v>0</v>
      </c>
      <c r="F18" s="40">
        <f t="shared" si="3"/>
        <v>0</v>
      </c>
      <c r="G18" s="40">
        <f t="shared" si="4"/>
        <v>0</v>
      </c>
      <c r="H18" s="40">
        <f t="shared" si="5"/>
        <v>0</v>
      </c>
      <c r="I18" s="23">
        <f t="shared" si="6"/>
        <v>0</v>
      </c>
      <c r="J18" s="23">
        <f t="shared" si="7"/>
        <v>49</v>
      </c>
      <c r="K18" s="23">
        <f t="shared" si="8"/>
        <v>0</v>
      </c>
      <c r="L18" s="24">
        <f t="shared" si="9"/>
        <v>38.730000000000004</v>
      </c>
      <c r="M18" s="24">
        <f t="shared" si="10"/>
        <v>38.730000000000004</v>
      </c>
      <c r="O18" s="24">
        <f t="shared" si="11"/>
        <v>0</v>
      </c>
      <c r="P18" s="24">
        <f t="shared" si="12"/>
        <v>0</v>
      </c>
      <c r="Q18" s="24">
        <f t="shared" si="13"/>
        <v>0</v>
      </c>
      <c r="R18" s="24">
        <f t="shared" si="14"/>
        <v>0</v>
      </c>
      <c r="S18" s="24">
        <f t="shared" si="15"/>
        <v>0</v>
      </c>
      <c r="T18" s="24">
        <f t="shared" si="16"/>
        <v>0</v>
      </c>
      <c r="V18" s="24"/>
      <c r="W18" s="24"/>
      <c r="X18" s="24"/>
      <c r="Y18" s="24"/>
      <c r="Z18" s="24"/>
      <c r="AA18" s="24"/>
    </row>
    <row r="19" spans="1:27" ht="33" customHeight="1" x14ac:dyDescent="0.2">
      <c r="A19" s="21">
        <v>7</v>
      </c>
      <c r="B19" s="25">
        <v>131</v>
      </c>
      <c r="C19" s="40">
        <f t="shared" si="0"/>
        <v>0</v>
      </c>
      <c r="D19" s="40">
        <f t="shared" si="1"/>
        <v>0</v>
      </c>
      <c r="E19" s="40">
        <f t="shared" si="2"/>
        <v>0</v>
      </c>
      <c r="F19" s="40">
        <f t="shared" si="3"/>
        <v>0</v>
      </c>
      <c r="G19" s="40">
        <f t="shared" si="4"/>
        <v>0</v>
      </c>
      <c r="H19" s="40">
        <f t="shared" si="5"/>
        <v>0</v>
      </c>
      <c r="I19" s="23">
        <f t="shared" si="6"/>
        <v>0</v>
      </c>
      <c r="J19" s="23">
        <f t="shared" si="7"/>
        <v>131</v>
      </c>
      <c r="K19" s="23">
        <f t="shared" si="8"/>
        <v>0</v>
      </c>
      <c r="L19" s="24">
        <f t="shared" si="9"/>
        <v>43.269999999999996</v>
      </c>
      <c r="M19" s="24">
        <f t="shared" si="10"/>
        <v>43.269999999999996</v>
      </c>
      <c r="O19" s="24">
        <f t="shared" si="11"/>
        <v>0</v>
      </c>
      <c r="P19" s="24">
        <f t="shared" si="12"/>
        <v>0</v>
      </c>
      <c r="Q19" s="24">
        <f t="shared" si="13"/>
        <v>0</v>
      </c>
      <c r="R19" s="24">
        <f t="shared" si="14"/>
        <v>0</v>
      </c>
      <c r="S19" s="24">
        <f t="shared" si="15"/>
        <v>0</v>
      </c>
      <c r="T19" s="24">
        <f t="shared" si="16"/>
        <v>0</v>
      </c>
      <c r="V19" s="24"/>
      <c r="W19" s="24"/>
      <c r="X19" s="24"/>
      <c r="Y19" s="24"/>
      <c r="Z19" s="24"/>
      <c r="AA19" s="24"/>
    </row>
    <row r="20" spans="1:27" ht="33" customHeight="1" x14ac:dyDescent="0.2">
      <c r="A20" s="21">
        <v>8</v>
      </c>
      <c r="B20" s="25">
        <v>134</v>
      </c>
      <c r="C20" s="40">
        <f t="shared" si="0"/>
        <v>0</v>
      </c>
      <c r="D20" s="40">
        <f t="shared" si="1"/>
        <v>0</v>
      </c>
      <c r="E20" s="40">
        <f t="shared" si="2"/>
        <v>0</v>
      </c>
      <c r="F20" s="40">
        <f t="shared" si="3"/>
        <v>0</v>
      </c>
      <c r="G20" s="40">
        <f t="shared" si="4"/>
        <v>0</v>
      </c>
      <c r="H20" s="40">
        <f t="shared" si="5"/>
        <v>0</v>
      </c>
      <c r="I20" s="23">
        <f t="shared" si="6"/>
        <v>0</v>
      </c>
      <c r="J20" s="23">
        <f t="shared" si="7"/>
        <v>134</v>
      </c>
      <c r="K20" s="23">
        <f t="shared" si="8"/>
        <v>0</v>
      </c>
      <c r="L20" s="24">
        <f t="shared" si="9"/>
        <v>46.269999999999996</v>
      </c>
      <c r="M20" s="24">
        <f t="shared" si="10"/>
        <v>46.269999999999996</v>
      </c>
      <c r="O20" s="24">
        <f t="shared" si="11"/>
        <v>0</v>
      </c>
      <c r="P20" s="24">
        <f t="shared" si="12"/>
        <v>0</v>
      </c>
      <c r="Q20" s="24">
        <f t="shared" si="13"/>
        <v>0</v>
      </c>
      <c r="R20" s="24">
        <f t="shared" si="14"/>
        <v>0</v>
      </c>
      <c r="S20" s="24">
        <f t="shared" si="15"/>
        <v>0</v>
      </c>
      <c r="T20" s="24">
        <f t="shared" si="16"/>
        <v>0</v>
      </c>
      <c r="V20" s="24"/>
      <c r="W20" s="24"/>
      <c r="X20" s="24"/>
      <c r="Y20" s="24"/>
      <c r="Z20" s="24"/>
      <c r="AA20" s="24"/>
    </row>
    <row r="21" spans="1:27" ht="33" customHeight="1" x14ac:dyDescent="0.2">
      <c r="A21" s="21">
        <v>9</v>
      </c>
      <c r="B21" s="25">
        <v>140</v>
      </c>
      <c r="C21" s="40">
        <f t="shared" si="0"/>
        <v>0</v>
      </c>
      <c r="D21" s="40">
        <f t="shared" si="1"/>
        <v>0</v>
      </c>
      <c r="E21" s="40">
        <f t="shared" si="2"/>
        <v>0</v>
      </c>
      <c r="F21" s="40">
        <f t="shared" si="3"/>
        <v>0</v>
      </c>
      <c r="G21" s="40">
        <f t="shared" si="4"/>
        <v>0</v>
      </c>
      <c r="H21" s="40">
        <f t="shared" si="5"/>
        <v>0</v>
      </c>
      <c r="I21" s="23">
        <f t="shared" si="6"/>
        <v>0</v>
      </c>
      <c r="J21" s="23">
        <f t="shared" si="7"/>
        <v>140</v>
      </c>
      <c r="K21" s="23">
        <f t="shared" si="8"/>
        <v>0</v>
      </c>
      <c r="L21" s="24">
        <f t="shared" si="9"/>
        <v>52.269999999999996</v>
      </c>
      <c r="M21" s="24">
        <f t="shared" si="10"/>
        <v>52.269999999999996</v>
      </c>
      <c r="O21" s="24">
        <f t="shared" si="11"/>
        <v>0</v>
      </c>
      <c r="P21" s="24">
        <f t="shared" si="12"/>
        <v>0</v>
      </c>
      <c r="Q21" s="24">
        <f t="shared" si="13"/>
        <v>0</v>
      </c>
      <c r="R21" s="24">
        <f t="shared" si="14"/>
        <v>0</v>
      </c>
      <c r="S21" s="24">
        <f t="shared" si="15"/>
        <v>0</v>
      </c>
      <c r="T21" s="24">
        <f t="shared" si="16"/>
        <v>0</v>
      </c>
      <c r="V21" s="24"/>
      <c r="W21" s="24"/>
      <c r="X21" s="24"/>
      <c r="Y21" s="24"/>
      <c r="Z21" s="24"/>
      <c r="AA21" s="24"/>
    </row>
    <row r="22" spans="1:27" ht="33" customHeight="1" x14ac:dyDescent="0.2">
      <c r="A22" s="21">
        <v>10</v>
      </c>
      <c r="B22" s="25">
        <v>53</v>
      </c>
      <c r="C22" s="40">
        <f t="shared" si="0"/>
        <v>0</v>
      </c>
      <c r="D22" s="40">
        <f t="shared" si="1"/>
        <v>0</v>
      </c>
      <c r="E22" s="40">
        <f t="shared" si="2"/>
        <v>0</v>
      </c>
      <c r="F22" s="40">
        <f t="shared" si="3"/>
        <v>0</v>
      </c>
      <c r="G22" s="40">
        <f t="shared" si="4"/>
        <v>0</v>
      </c>
      <c r="H22" s="40">
        <f t="shared" si="5"/>
        <v>0</v>
      </c>
      <c r="I22" s="23">
        <f t="shared" si="6"/>
        <v>0</v>
      </c>
      <c r="J22" s="23">
        <f t="shared" si="7"/>
        <v>53</v>
      </c>
      <c r="K22" s="23">
        <f t="shared" si="8"/>
        <v>0</v>
      </c>
      <c r="L22" s="24">
        <f t="shared" si="9"/>
        <v>34.730000000000004</v>
      </c>
      <c r="M22" s="24">
        <f t="shared" si="10"/>
        <v>34.730000000000004</v>
      </c>
      <c r="O22" s="24">
        <f t="shared" si="11"/>
        <v>0</v>
      </c>
      <c r="P22" s="24">
        <f t="shared" si="12"/>
        <v>0</v>
      </c>
      <c r="Q22" s="24">
        <f t="shared" si="13"/>
        <v>0</v>
      </c>
      <c r="R22" s="24">
        <f t="shared" si="14"/>
        <v>0</v>
      </c>
      <c r="S22" s="24">
        <f t="shared" si="15"/>
        <v>0</v>
      </c>
      <c r="T22" s="24">
        <f t="shared" si="16"/>
        <v>0</v>
      </c>
      <c r="V22" s="24"/>
      <c r="W22" s="24"/>
      <c r="X22" s="24"/>
      <c r="Y22" s="24"/>
      <c r="Z22" s="24"/>
      <c r="AA22" s="24"/>
    </row>
    <row r="23" spans="1:27" ht="33" customHeight="1" x14ac:dyDescent="0.2">
      <c r="A23" s="21">
        <v>11</v>
      </c>
      <c r="B23" s="25">
        <v>97</v>
      </c>
      <c r="C23" s="40">
        <f t="shared" si="0"/>
        <v>0</v>
      </c>
      <c r="D23" s="40">
        <f t="shared" si="1"/>
        <v>0</v>
      </c>
      <c r="E23" s="40">
        <f t="shared" si="2"/>
        <v>0</v>
      </c>
      <c r="F23" s="40">
        <f t="shared" si="3"/>
        <v>0</v>
      </c>
      <c r="G23" s="40">
        <f t="shared" si="4"/>
        <v>0</v>
      </c>
      <c r="H23" s="40">
        <f t="shared" si="5"/>
        <v>0</v>
      </c>
      <c r="I23" s="23">
        <f t="shared" si="6"/>
        <v>0</v>
      </c>
      <c r="J23" s="23">
        <f t="shared" si="7"/>
        <v>97</v>
      </c>
      <c r="K23" s="23">
        <f t="shared" si="8"/>
        <v>0</v>
      </c>
      <c r="L23" s="24">
        <f t="shared" si="9"/>
        <v>9.269999999999996</v>
      </c>
      <c r="M23" s="24">
        <f t="shared" si="10"/>
        <v>9.269999999999996</v>
      </c>
      <c r="O23" s="24">
        <f t="shared" si="11"/>
        <v>0</v>
      </c>
      <c r="P23" s="24">
        <f t="shared" si="12"/>
        <v>0</v>
      </c>
      <c r="Q23" s="24">
        <f t="shared" si="13"/>
        <v>0</v>
      </c>
      <c r="R23" s="24">
        <f t="shared" si="14"/>
        <v>0</v>
      </c>
      <c r="S23" s="24">
        <f t="shared" si="15"/>
        <v>0</v>
      </c>
      <c r="T23" s="24">
        <f t="shared" si="16"/>
        <v>0</v>
      </c>
      <c r="V23" s="24"/>
      <c r="W23" s="24"/>
      <c r="X23" s="24"/>
      <c r="Y23" s="24"/>
      <c r="Z23" s="24"/>
      <c r="AA23" s="24"/>
    </row>
    <row r="24" spans="1:27" ht="33" customHeight="1" x14ac:dyDescent="0.2">
      <c r="A24" s="21">
        <v>12</v>
      </c>
      <c r="B24" s="25">
        <v>54</v>
      </c>
      <c r="C24" s="40">
        <f t="shared" si="0"/>
        <v>0</v>
      </c>
      <c r="D24" s="40">
        <f t="shared" si="1"/>
        <v>0</v>
      </c>
      <c r="E24" s="40">
        <f t="shared" si="2"/>
        <v>0</v>
      </c>
      <c r="F24" s="40">
        <f t="shared" si="3"/>
        <v>0</v>
      </c>
      <c r="G24" s="40">
        <f t="shared" si="4"/>
        <v>0</v>
      </c>
      <c r="H24" s="40">
        <f t="shared" si="5"/>
        <v>0</v>
      </c>
      <c r="I24" s="23">
        <f t="shared" si="6"/>
        <v>0</v>
      </c>
      <c r="J24" s="23">
        <f t="shared" si="7"/>
        <v>54</v>
      </c>
      <c r="K24" s="23">
        <f t="shared" si="8"/>
        <v>0</v>
      </c>
      <c r="L24" s="24">
        <f t="shared" si="9"/>
        <v>33.730000000000004</v>
      </c>
      <c r="M24" s="24">
        <f t="shared" si="10"/>
        <v>33.730000000000004</v>
      </c>
      <c r="O24" s="24">
        <f t="shared" si="11"/>
        <v>0</v>
      </c>
      <c r="P24" s="24">
        <f t="shared" si="12"/>
        <v>0</v>
      </c>
      <c r="Q24" s="24">
        <f t="shared" si="13"/>
        <v>0</v>
      </c>
      <c r="R24" s="24">
        <f t="shared" si="14"/>
        <v>0</v>
      </c>
      <c r="S24" s="24">
        <f t="shared" si="15"/>
        <v>0</v>
      </c>
      <c r="T24" s="24">
        <f t="shared" si="16"/>
        <v>0</v>
      </c>
      <c r="V24" s="24"/>
      <c r="W24" s="24"/>
      <c r="X24" s="24"/>
      <c r="Y24" s="24"/>
      <c r="Z24" s="24"/>
      <c r="AA24" s="24"/>
    </row>
    <row r="25" spans="1:27" ht="33" customHeight="1" x14ac:dyDescent="0.2">
      <c r="A25" s="21">
        <v>13</v>
      </c>
      <c r="B25" s="25">
        <v>93</v>
      </c>
      <c r="C25" s="40">
        <f t="shared" si="0"/>
        <v>0</v>
      </c>
      <c r="D25" s="40">
        <f t="shared" si="1"/>
        <v>0</v>
      </c>
      <c r="E25" s="40">
        <f t="shared" si="2"/>
        <v>0</v>
      </c>
      <c r="F25" s="40">
        <f t="shared" si="3"/>
        <v>0</v>
      </c>
      <c r="G25" s="40">
        <f t="shared" si="4"/>
        <v>0</v>
      </c>
      <c r="H25" s="40">
        <f t="shared" si="5"/>
        <v>0</v>
      </c>
      <c r="I25" s="23">
        <f t="shared" si="6"/>
        <v>0</v>
      </c>
      <c r="J25" s="23">
        <f t="shared" si="7"/>
        <v>93</v>
      </c>
      <c r="K25" s="23">
        <f t="shared" si="8"/>
        <v>0</v>
      </c>
      <c r="L25" s="24">
        <f t="shared" si="9"/>
        <v>5.269999999999996</v>
      </c>
      <c r="M25" s="24">
        <f t="shared" si="10"/>
        <v>5.269999999999996</v>
      </c>
      <c r="O25" s="24">
        <f t="shared" si="11"/>
        <v>0</v>
      </c>
      <c r="P25" s="24">
        <f t="shared" si="12"/>
        <v>0</v>
      </c>
      <c r="Q25" s="24">
        <f t="shared" si="13"/>
        <v>0</v>
      </c>
      <c r="R25" s="24">
        <f t="shared" si="14"/>
        <v>0</v>
      </c>
      <c r="S25" s="24">
        <f t="shared" si="15"/>
        <v>0</v>
      </c>
      <c r="T25" s="24">
        <f t="shared" si="16"/>
        <v>0</v>
      </c>
      <c r="V25" s="24"/>
      <c r="W25" s="24"/>
      <c r="X25" s="24"/>
      <c r="Y25" s="24"/>
      <c r="Z25" s="24"/>
      <c r="AA25" s="24"/>
    </row>
    <row r="26" spans="1:27" ht="33" customHeight="1" x14ac:dyDescent="0.2">
      <c r="A26" s="21">
        <v>14</v>
      </c>
      <c r="B26" s="25">
        <v>91</v>
      </c>
      <c r="C26" s="40">
        <f t="shared" si="0"/>
        <v>0</v>
      </c>
      <c r="D26" s="40">
        <f t="shared" si="1"/>
        <v>0</v>
      </c>
      <c r="E26" s="40">
        <f t="shared" si="2"/>
        <v>0</v>
      </c>
      <c r="F26" s="40">
        <f t="shared" si="3"/>
        <v>0</v>
      </c>
      <c r="G26" s="40">
        <f t="shared" si="4"/>
        <v>0</v>
      </c>
      <c r="H26" s="40">
        <f t="shared" si="5"/>
        <v>0</v>
      </c>
      <c r="I26" s="23">
        <f t="shared" si="6"/>
        <v>0</v>
      </c>
      <c r="J26" s="23">
        <f t="shared" si="7"/>
        <v>91</v>
      </c>
      <c r="K26" s="23">
        <f t="shared" si="8"/>
        <v>0</v>
      </c>
      <c r="L26" s="24">
        <f t="shared" si="9"/>
        <v>3.269999999999996</v>
      </c>
      <c r="M26" s="24">
        <f t="shared" si="10"/>
        <v>3.269999999999996</v>
      </c>
      <c r="O26" s="24">
        <f t="shared" si="11"/>
        <v>0</v>
      </c>
      <c r="P26" s="24">
        <f t="shared" si="12"/>
        <v>0</v>
      </c>
      <c r="Q26" s="24">
        <f t="shared" si="13"/>
        <v>0</v>
      </c>
      <c r="R26" s="24">
        <f t="shared" si="14"/>
        <v>0</v>
      </c>
      <c r="S26" s="24">
        <f t="shared" si="15"/>
        <v>0</v>
      </c>
      <c r="T26" s="24">
        <f t="shared" si="16"/>
        <v>0</v>
      </c>
      <c r="V26" s="24"/>
      <c r="W26" s="24"/>
      <c r="X26" s="24"/>
      <c r="Y26" s="24"/>
      <c r="Z26" s="24"/>
      <c r="AA26" s="24"/>
    </row>
    <row r="27" spans="1:27" ht="33" customHeight="1" x14ac:dyDescent="0.2">
      <c r="A27" s="21">
        <v>15</v>
      </c>
      <c r="B27" s="25">
        <v>99</v>
      </c>
      <c r="C27" s="40">
        <f t="shared" si="0"/>
        <v>0</v>
      </c>
      <c r="D27" s="40">
        <f t="shared" si="1"/>
        <v>0</v>
      </c>
      <c r="E27" s="40">
        <f t="shared" si="2"/>
        <v>0</v>
      </c>
      <c r="F27" s="40">
        <f t="shared" si="3"/>
        <v>0</v>
      </c>
      <c r="G27" s="40">
        <f t="shared" si="4"/>
        <v>0</v>
      </c>
      <c r="H27" s="40">
        <f t="shared" si="5"/>
        <v>0</v>
      </c>
      <c r="I27" s="23">
        <f t="shared" si="6"/>
        <v>0</v>
      </c>
      <c r="J27" s="23">
        <f t="shared" si="7"/>
        <v>99</v>
      </c>
      <c r="K27" s="23">
        <f t="shared" si="8"/>
        <v>0</v>
      </c>
      <c r="L27" s="24">
        <f t="shared" si="9"/>
        <v>11.269999999999996</v>
      </c>
      <c r="M27" s="24">
        <f t="shared" si="10"/>
        <v>11.269999999999996</v>
      </c>
      <c r="O27" s="24">
        <f t="shared" si="11"/>
        <v>0</v>
      </c>
      <c r="P27" s="24">
        <f t="shared" si="12"/>
        <v>0</v>
      </c>
      <c r="Q27" s="24">
        <f t="shared" si="13"/>
        <v>0</v>
      </c>
      <c r="R27" s="24">
        <f t="shared" si="14"/>
        <v>0</v>
      </c>
      <c r="S27" s="24">
        <f t="shared" si="15"/>
        <v>0</v>
      </c>
      <c r="T27" s="24">
        <f t="shared" si="16"/>
        <v>0</v>
      </c>
      <c r="V27" s="24"/>
      <c r="W27" s="24"/>
      <c r="X27" s="24"/>
      <c r="Y27" s="24"/>
      <c r="Z27" s="24"/>
      <c r="AA27" s="24"/>
    </row>
    <row r="28" spans="1:27" ht="33" customHeight="1" x14ac:dyDescent="0.2">
      <c r="A28" s="21">
        <v>16</v>
      </c>
      <c r="B28" s="25">
        <v>124</v>
      </c>
      <c r="C28" s="40">
        <f t="shared" si="0"/>
        <v>0</v>
      </c>
      <c r="D28" s="40">
        <f t="shared" si="1"/>
        <v>0</v>
      </c>
      <c r="E28" s="40">
        <f t="shared" si="2"/>
        <v>0</v>
      </c>
      <c r="F28" s="40">
        <f t="shared" si="3"/>
        <v>0</v>
      </c>
      <c r="G28" s="40">
        <f t="shared" si="4"/>
        <v>0</v>
      </c>
      <c r="H28" s="40">
        <f t="shared" si="5"/>
        <v>0</v>
      </c>
      <c r="I28" s="23">
        <f t="shared" si="6"/>
        <v>0</v>
      </c>
      <c r="J28" s="23">
        <f t="shared" si="7"/>
        <v>124</v>
      </c>
      <c r="K28" s="23">
        <f t="shared" si="8"/>
        <v>0</v>
      </c>
      <c r="L28" s="24">
        <f t="shared" si="9"/>
        <v>36.269999999999996</v>
      </c>
      <c r="M28" s="24">
        <f t="shared" si="10"/>
        <v>36.269999999999996</v>
      </c>
      <c r="O28" s="24">
        <f t="shared" si="11"/>
        <v>0</v>
      </c>
      <c r="P28" s="24">
        <f t="shared" si="12"/>
        <v>0</v>
      </c>
      <c r="Q28" s="24">
        <f t="shared" si="13"/>
        <v>0</v>
      </c>
      <c r="R28" s="24">
        <f t="shared" si="14"/>
        <v>0</v>
      </c>
      <c r="S28" s="24">
        <f t="shared" si="15"/>
        <v>0</v>
      </c>
      <c r="T28" s="24">
        <f t="shared" si="16"/>
        <v>0</v>
      </c>
      <c r="V28" s="24"/>
      <c r="W28" s="24"/>
      <c r="X28" s="24"/>
      <c r="Y28" s="24"/>
      <c r="Z28" s="24"/>
      <c r="AA28" s="24"/>
    </row>
    <row r="29" spans="1:27" ht="33" customHeight="1" x14ac:dyDescent="0.2">
      <c r="A29" s="21">
        <v>17</v>
      </c>
      <c r="B29" s="25">
        <v>146</v>
      </c>
      <c r="C29" s="40">
        <f t="shared" si="0"/>
        <v>0</v>
      </c>
      <c r="D29" s="40">
        <f t="shared" si="1"/>
        <v>0</v>
      </c>
      <c r="E29" s="40">
        <f t="shared" si="2"/>
        <v>0</v>
      </c>
      <c r="F29" s="40">
        <f t="shared" si="3"/>
        <v>0</v>
      </c>
      <c r="G29" s="40">
        <f t="shared" si="4"/>
        <v>0</v>
      </c>
      <c r="H29" s="40">
        <f t="shared" si="5"/>
        <v>0</v>
      </c>
      <c r="I29" s="23">
        <f t="shared" si="6"/>
        <v>0</v>
      </c>
      <c r="J29" s="23">
        <f t="shared" si="7"/>
        <v>146</v>
      </c>
      <c r="K29" s="23">
        <f t="shared" si="8"/>
        <v>0</v>
      </c>
      <c r="L29" s="24">
        <f t="shared" si="9"/>
        <v>58.269999999999996</v>
      </c>
      <c r="M29" s="24">
        <f t="shared" si="10"/>
        <v>58.269999999999996</v>
      </c>
      <c r="O29" s="24">
        <f t="shared" si="11"/>
        <v>0</v>
      </c>
      <c r="P29" s="24">
        <f t="shared" si="12"/>
        <v>0</v>
      </c>
      <c r="Q29" s="24">
        <f t="shared" si="13"/>
        <v>0</v>
      </c>
      <c r="R29" s="24">
        <f t="shared" si="14"/>
        <v>0</v>
      </c>
      <c r="S29" s="24">
        <f t="shared" si="15"/>
        <v>0</v>
      </c>
      <c r="T29" s="24">
        <f t="shared" si="16"/>
        <v>0</v>
      </c>
      <c r="V29" s="24"/>
      <c r="W29" s="24"/>
      <c r="X29" s="24"/>
      <c r="Y29" s="24"/>
      <c r="Z29" s="24"/>
      <c r="AA29" s="24"/>
    </row>
    <row r="30" spans="1:27" ht="33" customHeight="1" x14ac:dyDescent="0.2">
      <c r="A30" s="21">
        <v>18</v>
      </c>
      <c r="B30" s="25">
        <v>92</v>
      </c>
      <c r="C30" s="40">
        <f t="shared" si="0"/>
        <v>0</v>
      </c>
      <c r="D30" s="40">
        <f t="shared" si="1"/>
        <v>0</v>
      </c>
      <c r="E30" s="40">
        <f t="shared" si="2"/>
        <v>0</v>
      </c>
      <c r="F30" s="40">
        <f t="shared" si="3"/>
        <v>0</v>
      </c>
      <c r="G30" s="40">
        <f t="shared" si="4"/>
        <v>0</v>
      </c>
      <c r="H30" s="40">
        <f t="shared" si="5"/>
        <v>0</v>
      </c>
      <c r="I30" s="23">
        <f t="shared" si="6"/>
        <v>0</v>
      </c>
      <c r="J30" s="23">
        <f t="shared" si="7"/>
        <v>92</v>
      </c>
      <c r="K30" s="23">
        <f t="shared" si="8"/>
        <v>0</v>
      </c>
      <c r="L30" s="24">
        <f t="shared" si="9"/>
        <v>4.269999999999996</v>
      </c>
      <c r="M30" s="24">
        <f t="shared" si="10"/>
        <v>4.269999999999996</v>
      </c>
      <c r="O30" s="24">
        <f t="shared" si="11"/>
        <v>0</v>
      </c>
      <c r="P30" s="24">
        <f t="shared" si="12"/>
        <v>0</v>
      </c>
      <c r="Q30" s="24">
        <f t="shared" si="13"/>
        <v>0</v>
      </c>
      <c r="R30" s="24">
        <f t="shared" si="14"/>
        <v>0</v>
      </c>
      <c r="S30" s="24">
        <f t="shared" si="15"/>
        <v>0</v>
      </c>
      <c r="T30" s="24">
        <f t="shared" si="16"/>
        <v>0</v>
      </c>
      <c r="V30" s="24"/>
      <c r="W30" s="24"/>
      <c r="X30" s="24"/>
      <c r="Y30" s="24"/>
      <c r="Z30" s="24"/>
      <c r="AA30" s="24"/>
    </row>
    <row r="31" spans="1:27" ht="33" customHeight="1" x14ac:dyDescent="0.2">
      <c r="A31" s="21">
        <v>19</v>
      </c>
      <c r="B31" s="25">
        <v>94</v>
      </c>
      <c r="C31" s="40">
        <f t="shared" si="0"/>
        <v>0</v>
      </c>
      <c r="D31" s="40">
        <f t="shared" si="1"/>
        <v>0</v>
      </c>
      <c r="E31" s="40">
        <f t="shared" si="2"/>
        <v>0</v>
      </c>
      <c r="F31" s="40">
        <f t="shared" si="3"/>
        <v>0</v>
      </c>
      <c r="G31" s="40">
        <f t="shared" si="4"/>
        <v>0</v>
      </c>
      <c r="H31" s="40">
        <f t="shared" si="5"/>
        <v>0</v>
      </c>
      <c r="I31" s="23">
        <f t="shared" si="6"/>
        <v>0</v>
      </c>
      <c r="J31" s="23">
        <f t="shared" si="7"/>
        <v>94</v>
      </c>
      <c r="K31" s="23">
        <f t="shared" si="8"/>
        <v>0</v>
      </c>
      <c r="L31" s="24">
        <f t="shared" si="9"/>
        <v>6.269999999999996</v>
      </c>
      <c r="M31" s="24">
        <f t="shared" si="10"/>
        <v>6.269999999999996</v>
      </c>
      <c r="O31" s="24">
        <f t="shared" si="11"/>
        <v>0</v>
      </c>
      <c r="P31" s="24">
        <f t="shared" si="12"/>
        <v>0</v>
      </c>
      <c r="Q31" s="24">
        <f t="shared" si="13"/>
        <v>0</v>
      </c>
      <c r="R31" s="24">
        <f t="shared" si="14"/>
        <v>0</v>
      </c>
      <c r="S31" s="24">
        <f t="shared" si="15"/>
        <v>0</v>
      </c>
      <c r="T31" s="24">
        <f t="shared" si="16"/>
        <v>0</v>
      </c>
      <c r="V31" s="24"/>
      <c r="W31" s="24"/>
      <c r="X31" s="24"/>
      <c r="Y31" s="24"/>
      <c r="Z31" s="24"/>
      <c r="AA31" s="24"/>
    </row>
    <row r="32" spans="1:27" ht="33" customHeight="1" x14ac:dyDescent="0.2">
      <c r="A32" s="21">
        <v>20</v>
      </c>
      <c r="B32" s="25">
        <v>72</v>
      </c>
      <c r="C32" s="40">
        <f t="shared" si="0"/>
        <v>0</v>
      </c>
      <c r="D32" s="40">
        <f t="shared" si="1"/>
        <v>0</v>
      </c>
      <c r="E32" s="40">
        <f t="shared" si="2"/>
        <v>0</v>
      </c>
      <c r="F32" s="40">
        <f t="shared" si="3"/>
        <v>0</v>
      </c>
      <c r="G32" s="40">
        <f t="shared" si="4"/>
        <v>0</v>
      </c>
      <c r="H32" s="40">
        <f t="shared" si="5"/>
        <v>0</v>
      </c>
      <c r="I32" s="23">
        <f t="shared" si="6"/>
        <v>0</v>
      </c>
      <c r="J32" s="23">
        <f t="shared" si="7"/>
        <v>72</v>
      </c>
      <c r="K32" s="23">
        <f t="shared" si="8"/>
        <v>0</v>
      </c>
      <c r="L32" s="24">
        <f t="shared" si="9"/>
        <v>15.730000000000004</v>
      </c>
      <c r="M32" s="24">
        <f t="shared" si="10"/>
        <v>15.730000000000004</v>
      </c>
      <c r="O32" s="24">
        <f t="shared" si="11"/>
        <v>0</v>
      </c>
      <c r="P32" s="24">
        <f t="shared" si="12"/>
        <v>0</v>
      </c>
      <c r="Q32" s="24">
        <f t="shared" si="13"/>
        <v>0</v>
      </c>
      <c r="R32" s="24">
        <f t="shared" si="14"/>
        <v>0</v>
      </c>
      <c r="S32" s="24">
        <f t="shared" si="15"/>
        <v>0</v>
      </c>
      <c r="T32" s="24">
        <f t="shared" si="16"/>
        <v>0</v>
      </c>
      <c r="V32" s="24"/>
      <c r="W32" s="24"/>
      <c r="X32" s="24"/>
      <c r="Y32" s="24"/>
      <c r="Z32" s="24"/>
      <c r="AA32" s="24"/>
    </row>
    <row r="33" spans="1:27" ht="33" customHeight="1" x14ac:dyDescent="0.2">
      <c r="A33" s="21">
        <v>21</v>
      </c>
      <c r="B33" s="25">
        <v>78</v>
      </c>
      <c r="C33" s="40">
        <f t="shared" si="0"/>
        <v>0</v>
      </c>
      <c r="D33" s="40">
        <f t="shared" si="1"/>
        <v>0</v>
      </c>
      <c r="E33" s="40">
        <f t="shared" si="2"/>
        <v>0</v>
      </c>
      <c r="F33" s="40">
        <f t="shared" si="3"/>
        <v>0</v>
      </c>
      <c r="G33" s="40">
        <f t="shared" si="4"/>
        <v>0</v>
      </c>
      <c r="H33" s="40">
        <f t="shared" si="5"/>
        <v>0</v>
      </c>
      <c r="I33" s="23">
        <f t="shared" si="6"/>
        <v>0</v>
      </c>
      <c r="J33" s="23">
        <f t="shared" si="7"/>
        <v>78</v>
      </c>
      <c r="K33" s="23">
        <f t="shared" si="8"/>
        <v>0</v>
      </c>
      <c r="L33" s="24">
        <f t="shared" si="9"/>
        <v>9.730000000000004</v>
      </c>
      <c r="M33" s="24">
        <f t="shared" si="10"/>
        <v>9.730000000000004</v>
      </c>
      <c r="O33" s="24">
        <f t="shared" si="11"/>
        <v>0</v>
      </c>
      <c r="P33" s="24">
        <f t="shared" si="12"/>
        <v>0</v>
      </c>
      <c r="Q33" s="24">
        <f t="shared" si="13"/>
        <v>0</v>
      </c>
      <c r="R33" s="24">
        <f t="shared" si="14"/>
        <v>0</v>
      </c>
      <c r="S33" s="24">
        <f t="shared" si="15"/>
        <v>0</v>
      </c>
      <c r="T33" s="24">
        <f t="shared" si="16"/>
        <v>0</v>
      </c>
      <c r="V33" s="24"/>
      <c r="W33" s="24"/>
      <c r="X33" s="24"/>
      <c r="Y33" s="24"/>
      <c r="Z33" s="24"/>
      <c r="AA33" s="24"/>
    </row>
    <row r="34" spans="1:27" ht="33" customHeight="1" x14ac:dyDescent="0.2">
      <c r="A34" s="21">
        <v>22</v>
      </c>
      <c r="B34" s="25">
        <v>71</v>
      </c>
      <c r="C34" s="40">
        <f t="shared" si="0"/>
        <v>0</v>
      </c>
      <c r="D34" s="40">
        <f t="shared" si="1"/>
        <v>0</v>
      </c>
      <c r="E34" s="40">
        <f t="shared" si="2"/>
        <v>0</v>
      </c>
      <c r="F34" s="40">
        <f t="shared" si="3"/>
        <v>0</v>
      </c>
      <c r="G34" s="40">
        <f t="shared" si="4"/>
        <v>0</v>
      </c>
      <c r="H34" s="40">
        <f t="shared" si="5"/>
        <v>0</v>
      </c>
      <c r="I34" s="23">
        <f t="shared" si="6"/>
        <v>0</v>
      </c>
      <c r="J34" s="23">
        <f t="shared" si="7"/>
        <v>71</v>
      </c>
      <c r="K34" s="23">
        <f t="shared" si="8"/>
        <v>0</v>
      </c>
      <c r="L34" s="24">
        <f t="shared" si="9"/>
        <v>16.730000000000004</v>
      </c>
      <c r="M34" s="24">
        <f t="shared" si="10"/>
        <v>16.730000000000004</v>
      </c>
      <c r="O34" s="24">
        <f t="shared" si="11"/>
        <v>0</v>
      </c>
      <c r="P34" s="24">
        <f t="shared" si="12"/>
        <v>0</v>
      </c>
      <c r="Q34" s="24">
        <f t="shared" si="13"/>
        <v>0</v>
      </c>
      <c r="R34" s="24">
        <f t="shared" si="14"/>
        <v>0</v>
      </c>
      <c r="S34" s="24">
        <f t="shared" si="15"/>
        <v>0</v>
      </c>
      <c r="T34" s="24">
        <f t="shared" si="16"/>
        <v>0</v>
      </c>
      <c r="V34" s="24"/>
      <c r="W34" s="24"/>
      <c r="X34" s="24"/>
      <c r="Y34" s="24"/>
      <c r="Z34" s="24"/>
      <c r="AA34" s="24"/>
    </row>
    <row r="35" spans="1:27" ht="33" customHeight="1" x14ac:dyDescent="0.2">
      <c r="A35" s="21">
        <v>23</v>
      </c>
      <c r="B35" s="25">
        <v>79</v>
      </c>
      <c r="C35" s="40">
        <f t="shared" si="0"/>
        <v>0</v>
      </c>
      <c r="D35" s="40">
        <f t="shared" si="1"/>
        <v>0</v>
      </c>
      <c r="E35" s="40">
        <f t="shared" si="2"/>
        <v>0</v>
      </c>
      <c r="F35" s="40">
        <f t="shared" si="3"/>
        <v>0</v>
      </c>
      <c r="G35" s="40">
        <f t="shared" si="4"/>
        <v>0</v>
      </c>
      <c r="H35" s="40">
        <f t="shared" si="5"/>
        <v>0</v>
      </c>
      <c r="I35" s="23">
        <f t="shared" si="6"/>
        <v>0</v>
      </c>
      <c r="J35" s="23">
        <f t="shared" si="7"/>
        <v>79</v>
      </c>
      <c r="K35" s="23">
        <f t="shared" si="8"/>
        <v>0</v>
      </c>
      <c r="L35" s="24">
        <f t="shared" si="9"/>
        <v>8.730000000000004</v>
      </c>
      <c r="M35" s="24">
        <f t="shared" si="10"/>
        <v>8.730000000000004</v>
      </c>
      <c r="O35" s="24">
        <f t="shared" si="11"/>
        <v>0</v>
      </c>
      <c r="P35" s="24">
        <f t="shared" si="12"/>
        <v>0</v>
      </c>
      <c r="Q35" s="24">
        <f t="shared" si="13"/>
        <v>0</v>
      </c>
      <c r="R35" s="24">
        <f t="shared" si="14"/>
        <v>0</v>
      </c>
      <c r="S35" s="24">
        <f t="shared" si="15"/>
        <v>0</v>
      </c>
      <c r="T35" s="24">
        <f t="shared" si="16"/>
        <v>0</v>
      </c>
      <c r="V35" s="24"/>
      <c r="W35" s="24"/>
      <c r="X35" s="24"/>
      <c r="Y35" s="24"/>
      <c r="Z35" s="24"/>
      <c r="AA35" s="24"/>
    </row>
    <row r="36" spans="1:27" ht="33" customHeight="1" x14ac:dyDescent="0.2">
      <c r="A36" s="21">
        <v>24</v>
      </c>
      <c r="B36" s="25">
        <v>83</v>
      </c>
      <c r="C36" s="40">
        <f t="shared" si="0"/>
        <v>0</v>
      </c>
      <c r="D36" s="40">
        <f t="shared" si="1"/>
        <v>0</v>
      </c>
      <c r="E36" s="40">
        <f t="shared" si="2"/>
        <v>0</v>
      </c>
      <c r="F36" s="40">
        <f t="shared" si="3"/>
        <v>0</v>
      </c>
      <c r="G36" s="40">
        <f t="shared" si="4"/>
        <v>0</v>
      </c>
      <c r="H36" s="40">
        <f t="shared" si="5"/>
        <v>0</v>
      </c>
      <c r="I36" s="23">
        <f t="shared" si="6"/>
        <v>0</v>
      </c>
      <c r="J36" s="23">
        <f t="shared" si="7"/>
        <v>83</v>
      </c>
      <c r="K36" s="23">
        <f t="shared" si="8"/>
        <v>0</v>
      </c>
      <c r="L36" s="24">
        <f t="shared" si="9"/>
        <v>4.730000000000004</v>
      </c>
      <c r="M36" s="24">
        <f t="shared" si="10"/>
        <v>4.730000000000004</v>
      </c>
      <c r="O36" s="24">
        <f t="shared" si="11"/>
        <v>0</v>
      </c>
      <c r="P36" s="24">
        <f t="shared" si="12"/>
        <v>0</v>
      </c>
      <c r="Q36" s="24">
        <f t="shared" si="13"/>
        <v>0</v>
      </c>
      <c r="R36" s="24">
        <f t="shared" si="14"/>
        <v>0</v>
      </c>
      <c r="S36" s="24">
        <f t="shared" si="15"/>
        <v>0</v>
      </c>
      <c r="T36" s="24">
        <f t="shared" si="16"/>
        <v>0</v>
      </c>
      <c r="V36" s="24"/>
      <c r="W36" s="24"/>
      <c r="X36" s="24"/>
      <c r="Y36" s="24"/>
      <c r="Z36" s="24"/>
      <c r="AA36" s="24"/>
    </row>
    <row r="37" spans="1:27" ht="33" customHeight="1" x14ac:dyDescent="0.2">
      <c r="A37" s="21">
        <v>25</v>
      </c>
      <c r="B37" s="25">
        <v>126</v>
      </c>
      <c r="C37" s="40">
        <f t="shared" si="0"/>
        <v>0</v>
      </c>
      <c r="D37" s="40">
        <f t="shared" si="1"/>
        <v>0</v>
      </c>
      <c r="E37" s="40">
        <f t="shared" si="2"/>
        <v>0</v>
      </c>
      <c r="F37" s="40">
        <f t="shared" si="3"/>
        <v>0</v>
      </c>
      <c r="G37" s="40">
        <f t="shared" si="4"/>
        <v>0</v>
      </c>
      <c r="H37" s="40">
        <f t="shared" si="5"/>
        <v>0</v>
      </c>
      <c r="I37" s="23">
        <f t="shared" si="6"/>
        <v>0</v>
      </c>
      <c r="J37" s="23">
        <f t="shared" si="7"/>
        <v>126</v>
      </c>
      <c r="K37" s="23">
        <f t="shared" si="8"/>
        <v>0</v>
      </c>
      <c r="L37" s="24">
        <f t="shared" si="9"/>
        <v>38.269999999999996</v>
      </c>
      <c r="M37" s="24">
        <f t="shared" si="10"/>
        <v>38.269999999999996</v>
      </c>
      <c r="O37" s="24">
        <f t="shared" si="11"/>
        <v>0</v>
      </c>
      <c r="P37" s="24">
        <f t="shared" si="12"/>
        <v>0</v>
      </c>
      <c r="Q37" s="24">
        <f t="shared" si="13"/>
        <v>0</v>
      </c>
      <c r="R37" s="24">
        <f t="shared" si="14"/>
        <v>0</v>
      </c>
      <c r="S37" s="24">
        <f t="shared" si="15"/>
        <v>0</v>
      </c>
      <c r="T37" s="24">
        <f t="shared" si="16"/>
        <v>0</v>
      </c>
      <c r="V37" s="24"/>
      <c r="W37" s="24"/>
      <c r="X37" s="24"/>
      <c r="Y37" s="24"/>
      <c r="Z37" s="24"/>
      <c r="AA37" s="24"/>
    </row>
    <row r="38" spans="1:27" ht="33" customHeight="1" x14ac:dyDescent="0.2">
      <c r="A38" s="21">
        <v>26</v>
      </c>
      <c r="B38" s="25">
        <v>93</v>
      </c>
      <c r="C38" s="40">
        <f t="shared" si="0"/>
        <v>0</v>
      </c>
      <c r="D38" s="40">
        <f t="shared" si="1"/>
        <v>0</v>
      </c>
      <c r="E38" s="40">
        <f t="shared" si="2"/>
        <v>0</v>
      </c>
      <c r="F38" s="40">
        <f t="shared" si="3"/>
        <v>0</v>
      </c>
      <c r="G38" s="40">
        <f t="shared" si="4"/>
        <v>0</v>
      </c>
      <c r="H38" s="40">
        <f t="shared" si="5"/>
        <v>0</v>
      </c>
      <c r="I38" s="23">
        <f t="shared" si="6"/>
        <v>0</v>
      </c>
      <c r="J38" s="23">
        <f t="shared" si="7"/>
        <v>93</v>
      </c>
      <c r="K38" s="23">
        <f t="shared" si="8"/>
        <v>0</v>
      </c>
      <c r="L38" s="24">
        <f t="shared" si="9"/>
        <v>5.269999999999996</v>
      </c>
      <c r="M38" s="24">
        <f t="shared" si="10"/>
        <v>5.269999999999996</v>
      </c>
      <c r="O38" s="24">
        <f t="shared" si="11"/>
        <v>0</v>
      </c>
      <c r="P38" s="24">
        <f t="shared" si="12"/>
        <v>0</v>
      </c>
      <c r="Q38" s="24">
        <f t="shared" si="13"/>
        <v>0</v>
      </c>
      <c r="R38" s="24">
        <f t="shared" si="14"/>
        <v>0</v>
      </c>
      <c r="S38" s="24">
        <f t="shared" si="15"/>
        <v>0</v>
      </c>
      <c r="T38" s="24">
        <f t="shared" si="16"/>
        <v>0</v>
      </c>
      <c r="V38" s="24"/>
      <c r="W38" s="24"/>
      <c r="X38" s="24"/>
      <c r="Y38" s="24"/>
      <c r="Z38" s="24"/>
      <c r="AA38" s="24"/>
    </row>
    <row r="39" spans="1:27" ht="33" customHeight="1" x14ac:dyDescent="0.2">
      <c r="A39" s="21">
        <v>27</v>
      </c>
      <c r="B39" s="25">
        <v>81</v>
      </c>
      <c r="C39" s="40">
        <f t="shared" si="0"/>
        <v>0</v>
      </c>
      <c r="D39" s="40">
        <f t="shared" si="1"/>
        <v>0</v>
      </c>
      <c r="E39" s="40">
        <f t="shared" si="2"/>
        <v>0</v>
      </c>
      <c r="F39" s="40">
        <f t="shared" si="3"/>
        <v>0</v>
      </c>
      <c r="G39" s="40">
        <f t="shared" si="4"/>
        <v>0</v>
      </c>
      <c r="H39" s="40">
        <f t="shared" si="5"/>
        <v>0</v>
      </c>
      <c r="I39" s="23">
        <f t="shared" si="6"/>
        <v>0</v>
      </c>
      <c r="J39" s="23">
        <f t="shared" si="7"/>
        <v>81</v>
      </c>
      <c r="K39" s="23">
        <f t="shared" si="8"/>
        <v>0</v>
      </c>
      <c r="L39" s="24">
        <f t="shared" si="9"/>
        <v>6.730000000000004</v>
      </c>
      <c r="M39" s="24">
        <f t="shared" si="10"/>
        <v>6.730000000000004</v>
      </c>
      <c r="O39" s="24">
        <f t="shared" si="11"/>
        <v>0</v>
      </c>
      <c r="P39" s="24">
        <f t="shared" si="12"/>
        <v>0</v>
      </c>
      <c r="Q39" s="24">
        <f t="shared" si="13"/>
        <v>0</v>
      </c>
      <c r="R39" s="24">
        <f t="shared" si="14"/>
        <v>0</v>
      </c>
      <c r="S39" s="24">
        <f t="shared" si="15"/>
        <v>0</v>
      </c>
      <c r="T39" s="24">
        <f t="shared" si="16"/>
        <v>0</v>
      </c>
      <c r="V39" s="24"/>
      <c r="W39" s="24"/>
      <c r="X39" s="24"/>
      <c r="Y39" s="24"/>
      <c r="Z39" s="24"/>
      <c r="AA39" s="24"/>
    </row>
    <row r="40" spans="1:27" ht="33" customHeight="1" x14ac:dyDescent="0.2">
      <c r="A40" s="21">
        <v>28</v>
      </c>
      <c r="B40" s="25">
        <v>126</v>
      </c>
      <c r="C40" s="40">
        <f t="shared" si="0"/>
        <v>0</v>
      </c>
      <c r="D40" s="40">
        <f t="shared" si="1"/>
        <v>0</v>
      </c>
      <c r="E40" s="40">
        <f t="shared" si="2"/>
        <v>0</v>
      </c>
      <c r="F40" s="40">
        <f t="shared" si="3"/>
        <v>0</v>
      </c>
      <c r="G40" s="40">
        <f t="shared" si="4"/>
        <v>0</v>
      </c>
      <c r="H40" s="40">
        <f t="shared" si="5"/>
        <v>0</v>
      </c>
      <c r="I40" s="23">
        <f t="shared" si="6"/>
        <v>0</v>
      </c>
      <c r="J40" s="23">
        <f t="shared" si="7"/>
        <v>126</v>
      </c>
      <c r="K40" s="23">
        <f t="shared" si="8"/>
        <v>0</v>
      </c>
      <c r="L40" s="24">
        <f t="shared" si="9"/>
        <v>38.269999999999996</v>
      </c>
      <c r="M40" s="24">
        <f t="shared" si="10"/>
        <v>38.269999999999996</v>
      </c>
      <c r="O40" s="24">
        <f t="shared" si="11"/>
        <v>0</v>
      </c>
      <c r="P40" s="24">
        <f t="shared" si="12"/>
        <v>0</v>
      </c>
      <c r="Q40" s="24">
        <f t="shared" si="13"/>
        <v>0</v>
      </c>
      <c r="R40" s="24">
        <f t="shared" si="14"/>
        <v>0</v>
      </c>
      <c r="S40" s="24">
        <f t="shared" si="15"/>
        <v>0</v>
      </c>
      <c r="T40" s="24">
        <f t="shared" si="16"/>
        <v>0</v>
      </c>
      <c r="V40" s="24"/>
      <c r="W40" s="24"/>
      <c r="X40" s="24"/>
      <c r="Y40" s="24"/>
      <c r="Z40" s="24"/>
      <c r="AA40" s="24"/>
    </row>
    <row r="41" spans="1:27" ht="33" customHeight="1" x14ac:dyDescent="0.2">
      <c r="A41" s="21">
        <v>29</v>
      </c>
      <c r="B41" s="25">
        <v>129</v>
      </c>
      <c r="C41" s="40">
        <f t="shared" si="0"/>
        <v>0</v>
      </c>
      <c r="D41" s="40">
        <f t="shared" si="1"/>
        <v>0</v>
      </c>
      <c r="E41" s="40">
        <f t="shared" si="2"/>
        <v>0</v>
      </c>
      <c r="F41" s="40">
        <f t="shared" si="3"/>
        <v>0</v>
      </c>
      <c r="G41" s="40">
        <f t="shared" si="4"/>
        <v>0</v>
      </c>
      <c r="H41" s="40">
        <f t="shared" si="5"/>
        <v>0</v>
      </c>
      <c r="I41" s="23">
        <f t="shared" si="6"/>
        <v>0</v>
      </c>
      <c r="J41" s="23">
        <f t="shared" si="7"/>
        <v>129</v>
      </c>
      <c r="K41" s="23">
        <f t="shared" si="8"/>
        <v>0</v>
      </c>
      <c r="L41" s="24">
        <f t="shared" si="9"/>
        <v>41.269999999999996</v>
      </c>
      <c r="M41" s="24">
        <f t="shared" si="10"/>
        <v>41.269999999999996</v>
      </c>
      <c r="O41" s="24">
        <f t="shared" si="11"/>
        <v>0</v>
      </c>
      <c r="P41" s="24">
        <f t="shared" si="12"/>
        <v>0</v>
      </c>
      <c r="Q41" s="24">
        <f t="shared" si="13"/>
        <v>0</v>
      </c>
      <c r="R41" s="24">
        <f t="shared" si="14"/>
        <v>0</v>
      </c>
      <c r="S41" s="24">
        <f t="shared" si="15"/>
        <v>0</v>
      </c>
      <c r="T41" s="24">
        <f t="shared" si="16"/>
        <v>0</v>
      </c>
      <c r="V41" s="24"/>
      <c r="W41" s="24"/>
      <c r="X41" s="24"/>
      <c r="Y41" s="24"/>
      <c r="Z41" s="24"/>
      <c r="AA41" s="24"/>
    </row>
    <row r="42" spans="1:27" ht="33" customHeight="1" x14ac:dyDescent="0.2">
      <c r="A42" s="21">
        <v>30</v>
      </c>
      <c r="B42" s="25">
        <v>55</v>
      </c>
      <c r="C42" s="40">
        <f t="shared" si="0"/>
        <v>0</v>
      </c>
      <c r="D42" s="40">
        <f t="shared" si="1"/>
        <v>0</v>
      </c>
      <c r="E42" s="40">
        <f t="shared" si="2"/>
        <v>0</v>
      </c>
      <c r="F42" s="40">
        <f t="shared" si="3"/>
        <v>0</v>
      </c>
      <c r="G42" s="40">
        <f t="shared" si="4"/>
        <v>0</v>
      </c>
      <c r="H42" s="40">
        <f t="shared" si="5"/>
        <v>0</v>
      </c>
      <c r="I42" s="23">
        <f t="shared" si="6"/>
        <v>0</v>
      </c>
      <c r="J42" s="23">
        <f t="shared" si="7"/>
        <v>55</v>
      </c>
      <c r="K42" s="23">
        <f t="shared" si="8"/>
        <v>0</v>
      </c>
      <c r="L42" s="24">
        <f t="shared" si="9"/>
        <v>32.730000000000004</v>
      </c>
      <c r="M42" s="24">
        <f t="shared" si="10"/>
        <v>32.730000000000004</v>
      </c>
      <c r="O42" s="24">
        <f t="shared" si="11"/>
        <v>0</v>
      </c>
      <c r="P42" s="24">
        <f t="shared" si="12"/>
        <v>0</v>
      </c>
      <c r="Q42" s="24">
        <f t="shared" si="13"/>
        <v>0</v>
      </c>
      <c r="R42" s="24">
        <f t="shared" si="14"/>
        <v>0</v>
      </c>
      <c r="S42" s="24">
        <f t="shared" si="15"/>
        <v>0</v>
      </c>
      <c r="T42" s="24">
        <f t="shared" si="16"/>
        <v>0</v>
      </c>
      <c r="V42" s="24"/>
      <c r="W42" s="24"/>
      <c r="X42" s="24"/>
      <c r="Y42" s="24"/>
      <c r="Z42" s="24"/>
      <c r="AA42" s="24"/>
    </row>
    <row r="43" spans="1:27" ht="33" customHeight="1" x14ac:dyDescent="0.2">
      <c r="A43" s="21">
        <v>31</v>
      </c>
      <c r="B43" s="25">
        <v>138</v>
      </c>
      <c r="C43" s="40">
        <f t="shared" si="0"/>
        <v>0</v>
      </c>
      <c r="D43" s="40">
        <f t="shared" si="1"/>
        <v>0</v>
      </c>
      <c r="E43" s="40">
        <f t="shared" si="2"/>
        <v>0</v>
      </c>
      <c r="F43" s="40">
        <f t="shared" si="3"/>
        <v>0</v>
      </c>
      <c r="G43" s="40">
        <f t="shared" si="4"/>
        <v>0</v>
      </c>
      <c r="H43" s="40">
        <f t="shared" si="5"/>
        <v>0</v>
      </c>
      <c r="I43" s="23">
        <f t="shared" si="6"/>
        <v>0</v>
      </c>
      <c r="J43" s="23">
        <f t="shared" si="7"/>
        <v>138</v>
      </c>
      <c r="K43" s="23">
        <f t="shared" si="8"/>
        <v>0</v>
      </c>
      <c r="L43" s="24">
        <f t="shared" si="9"/>
        <v>50.269999999999996</v>
      </c>
      <c r="M43" s="24">
        <f t="shared" si="10"/>
        <v>50.269999999999996</v>
      </c>
      <c r="O43" s="24">
        <f t="shared" si="11"/>
        <v>0</v>
      </c>
      <c r="P43" s="24">
        <f t="shared" si="12"/>
        <v>0</v>
      </c>
      <c r="Q43" s="24">
        <f t="shared" si="13"/>
        <v>0</v>
      </c>
      <c r="R43" s="24">
        <f t="shared" si="14"/>
        <v>0</v>
      </c>
      <c r="S43" s="24">
        <f t="shared" si="15"/>
        <v>0</v>
      </c>
      <c r="T43" s="24">
        <f t="shared" si="16"/>
        <v>0</v>
      </c>
      <c r="V43" s="24"/>
      <c r="W43" s="24"/>
      <c r="X43" s="24"/>
      <c r="Y43" s="24"/>
      <c r="Z43" s="24"/>
      <c r="AA43" s="24"/>
    </row>
    <row r="44" spans="1:27" ht="33" customHeight="1" x14ac:dyDescent="0.2">
      <c r="A44" s="21">
        <v>32</v>
      </c>
      <c r="B44" s="25">
        <v>106</v>
      </c>
      <c r="C44" s="40">
        <f t="shared" si="0"/>
        <v>0</v>
      </c>
      <c r="D44" s="40">
        <f t="shared" si="1"/>
        <v>0</v>
      </c>
      <c r="E44" s="40">
        <f t="shared" si="2"/>
        <v>0</v>
      </c>
      <c r="F44" s="40">
        <f t="shared" si="3"/>
        <v>0</v>
      </c>
      <c r="G44" s="40">
        <f t="shared" si="4"/>
        <v>0</v>
      </c>
      <c r="H44" s="40">
        <f t="shared" si="5"/>
        <v>0</v>
      </c>
      <c r="I44" s="23">
        <f t="shared" si="6"/>
        <v>0</v>
      </c>
      <c r="J44" s="23">
        <f t="shared" si="7"/>
        <v>106</v>
      </c>
      <c r="K44" s="23">
        <f t="shared" si="8"/>
        <v>0</v>
      </c>
      <c r="L44" s="24">
        <f t="shared" si="9"/>
        <v>18.269999999999996</v>
      </c>
      <c r="M44" s="24">
        <f t="shared" si="10"/>
        <v>18.269999999999996</v>
      </c>
      <c r="O44" s="24">
        <f t="shared" si="11"/>
        <v>0</v>
      </c>
      <c r="P44" s="24">
        <f t="shared" si="12"/>
        <v>0</v>
      </c>
      <c r="Q44" s="24">
        <f t="shared" si="13"/>
        <v>0</v>
      </c>
      <c r="R44" s="24">
        <f t="shared" si="14"/>
        <v>0</v>
      </c>
      <c r="S44" s="24">
        <f t="shared" si="15"/>
        <v>0</v>
      </c>
      <c r="T44" s="24">
        <f t="shared" si="16"/>
        <v>0</v>
      </c>
      <c r="V44" s="24"/>
      <c r="W44" s="24"/>
      <c r="X44" s="24"/>
      <c r="Y44" s="24"/>
      <c r="Z44" s="24"/>
      <c r="AA44" s="24"/>
    </row>
    <row r="45" spans="1:27" ht="33" customHeight="1" x14ac:dyDescent="0.2">
      <c r="A45" s="21">
        <v>33</v>
      </c>
      <c r="B45" s="25">
        <v>125</v>
      </c>
      <c r="C45" s="40">
        <f t="shared" ref="C45:C76" si="17">IF(SUM($V45:$AA45), ROUND(V45/SUM($V45:$AA45), 2),0)</f>
        <v>0</v>
      </c>
      <c r="D45" s="40">
        <f t="shared" ref="D45:D76" si="18">IF(SUM($V45:$AA45), ROUND(W45/SUM($V45:$AA45), 2),0)</f>
        <v>0</v>
      </c>
      <c r="E45" s="40">
        <f t="shared" ref="E45:E76" si="19">IF(SUM($V45:$AA45), ROUND(X45/SUM($V45:$AA45), 2),0)</f>
        <v>0</v>
      </c>
      <c r="F45" s="40">
        <f t="shared" ref="F45:F76" si="20">IF(SUM($V45:$AA45), ROUND(Y45/SUM($V45:$AA45), 2),0)</f>
        <v>0</v>
      </c>
      <c r="G45" s="40">
        <f t="shared" ref="G45:G76" si="21">IF(SUM($V45:$AA45), ROUND(Z45/SUM($V45:$AA45), 2),0)</f>
        <v>0</v>
      </c>
      <c r="H45" s="40">
        <f t="shared" ref="H45:H76" si="22">IF(SUM($V45:$AA45), ROUND(AA45/SUM($V45:$AA45), 2),0)</f>
        <v>0</v>
      </c>
      <c r="I45" s="23">
        <f t="shared" ref="I45:I76" si="23">SUM(C45:H45)</f>
        <v>0</v>
      </c>
      <c r="J45" s="23">
        <f t="shared" ref="J45:J76" si="24">IF(I45&gt;0,0,B45)</f>
        <v>125</v>
      </c>
      <c r="K45" s="23">
        <f t="shared" ref="K45:K76" si="25">IF(I45&gt;0,B45,0)</f>
        <v>0</v>
      </c>
      <c r="L45" s="24">
        <f t="shared" ref="L45:L76" si="26">IF(B45&gt;0,(ABS(B45-$J$115)),0)</f>
        <v>37.269999999999996</v>
      </c>
      <c r="M45" s="24">
        <f t="shared" ref="M45:M76" si="27">IF(I45&gt;0,0,L45)</f>
        <v>37.269999999999996</v>
      </c>
      <c r="O45" s="24">
        <f t="shared" ref="O45:O76" si="28">C45*$L45</f>
        <v>0</v>
      </c>
      <c r="P45" s="24">
        <f t="shared" ref="P45:P76" si="29">D45*$L45</f>
        <v>0</v>
      </c>
      <c r="Q45" s="24">
        <f t="shared" ref="Q45:Q76" si="30">E45*$L45</f>
        <v>0</v>
      </c>
      <c r="R45" s="24">
        <f t="shared" ref="R45:R76" si="31">F45*$L45</f>
        <v>0</v>
      </c>
      <c r="S45" s="24">
        <f t="shared" ref="S45:S76" si="32">G45*$L45</f>
        <v>0</v>
      </c>
      <c r="T45" s="24">
        <f t="shared" ref="T45:T76" si="33">H45*$L45</f>
        <v>0</v>
      </c>
      <c r="V45" s="24"/>
      <c r="W45" s="24"/>
      <c r="X45" s="24"/>
      <c r="Y45" s="24"/>
      <c r="Z45" s="24"/>
      <c r="AA45" s="24"/>
    </row>
    <row r="46" spans="1:27" ht="33" customHeight="1" x14ac:dyDescent="0.2">
      <c r="A46" s="21">
        <v>34</v>
      </c>
      <c r="B46" s="25">
        <v>91</v>
      </c>
      <c r="C46" s="40">
        <f t="shared" si="17"/>
        <v>0</v>
      </c>
      <c r="D46" s="40">
        <f t="shared" si="18"/>
        <v>0</v>
      </c>
      <c r="E46" s="40">
        <f t="shared" si="19"/>
        <v>0</v>
      </c>
      <c r="F46" s="40">
        <f t="shared" si="20"/>
        <v>0</v>
      </c>
      <c r="G46" s="40">
        <f t="shared" si="21"/>
        <v>0</v>
      </c>
      <c r="H46" s="40">
        <f t="shared" si="22"/>
        <v>0</v>
      </c>
      <c r="I46" s="23">
        <f t="shared" si="23"/>
        <v>0</v>
      </c>
      <c r="J46" s="23">
        <f t="shared" si="24"/>
        <v>91</v>
      </c>
      <c r="K46" s="23">
        <f t="shared" si="25"/>
        <v>0</v>
      </c>
      <c r="L46" s="24">
        <f t="shared" si="26"/>
        <v>3.269999999999996</v>
      </c>
      <c r="M46" s="24">
        <f t="shared" si="27"/>
        <v>3.269999999999996</v>
      </c>
      <c r="O46" s="24">
        <f t="shared" si="28"/>
        <v>0</v>
      </c>
      <c r="P46" s="24">
        <f t="shared" si="29"/>
        <v>0</v>
      </c>
      <c r="Q46" s="24">
        <f t="shared" si="30"/>
        <v>0</v>
      </c>
      <c r="R46" s="24">
        <f t="shared" si="31"/>
        <v>0</v>
      </c>
      <c r="S46" s="24">
        <f t="shared" si="32"/>
        <v>0</v>
      </c>
      <c r="T46" s="24">
        <f t="shared" si="33"/>
        <v>0</v>
      </c>
      <c r="V46" s="24"/>
      <c r="W46" s="24"/>
      <c r="X46" s="24"/>
      <c r="Y46" s="24"/>
      <c r="Z46" s="24"/>
      <c r="AA46" s="24"/>
    </row>
    <row r="47" spans="1:27" ht="33" customHeight="1" x14ac:dyDescent="0.2">
      <c r="A47" s="21">
        <v>35</v>
      </c>
      <c r="B47" s="25">
        <v>126</v>
      </c>
      <c r="C47" s="40">
        <f t="shared" si="17"/>
        <v>0</v>
      </c>
      <c r="D47" s="40">
        <f t="shared" si="18"/>
        <v>0</v>
      </c>
      <c r="E47" s="40">
        <f t="shared" si="19"/>
        <v>0</v>
      </c>
      <c r="F47" s="40">
        <f t="shared" si="20"/>
        <v>0</v>
      </c>
      <c r="G47" s="40">
        <f t="shared" si="21"/>
        <v>0</v>
      </c>
      <c r="H47" s="40">
        <f t="shared" si="22"/>
        <v>0</v>
      </c>
      <c r="I47" s="23">
        <f t="shared" si="23"/>
        <v>0</v>
      </c>
      <c r="J47" s="23">
        <f t="shared" si="24"/>
        <v>126</v>
      </c>
      <c r="K47" s="23">
        <f t="shared" si="25"/>
        <v>0</v>
      </c>
      <c r="L47" s="24">
        <f t="shared" si="26"/>
        <v>38.269999999999996</v>
      </c>
      <c r="M47" s="24">
        <f t="shared" si="27"/>
        <v>38.269999999999996</v>
      </c>
      <c r="O47" s="24">
        <f t="shared" si="28"/>
        <v>0</v>
      </c>
      <c r="P47" s="24">
        <f t="shared" si="29"/>
        <v>0</v>
      </c>
      <c r="Q47" s="24">
        <f t="shared" si="30"/>
        <v>0</v>
      </c>
      <c r="R47" s="24">
        <f t="shared" si="31"/>
        <v>0</v>
      </c>
      <c r="S47" s="24">
        <f t="shared" si="32"/>
        <v>0</v>
      </c>
      <c r="T47" s="24">
        <f t="shared" si="33"/>
        <v>0</v>
      </c>
      <c r="V47" s="24"/>
      <c r="W47" s="24"/>
      <c r="X47" s="24"/>
      <c r="Y47" s="24"/>
      <c r="Z47" s="24"/>
      <c r="AA47" s="24"/>
    </row>
    <row r="48" spans="1:27" ht="33" customHeight="1" x14ac:dyDescent="0.2">
      <c r="A48" s="21">
        <v>36</v>
      </c>
      <c r="B48" s="25">
        <v>91</v>
      </c>
      <c r="C48" s="40">
        <f t="shared" si="17"/>
        <v>0</v>
      </c>
      <c r="D48" s="40">
        <f t="shared" si="18"/>
        <v>0</v>
      </c>
      <c r="E48" s="40">
        <f t="shared" si="19"/>
        <v>0</v>
      </c>
      <c r="F48" s="40">
        <f t="shared" si="20"/>
        <v>0</v>
      </c>
      <c r="G48" s="40">
        <f t="shared" si="21"/>
        <v>0</v>
      </c>
      <c r="H48" s="40">
        <f t="shared" si="22"/>
        <v>0</v>
      </c>
      <c r="I48" s="23">
        <f t="shared" si="23"/>
        <v>0</v>
      </c>
      <c r="J48" s="23">
        <f t="shared" si="24"/>
        <v>91</v>
      </c>
      <c r="K48" s="23">
        <f t="shared" si="25"/>
        <v>0</v>
      </c>
      <c r="L48" s="24">
        <f t="shared" si="26"/>
        <v>3.269999999999996</v>
      </c>
      <c r="M48" s="24">
        <f t="shared" si="27"/>
        <v>3.269999999999996</v>
      </c>
      <c r="O48" s="24">
        <f t="shared" si="28"/>
        <v>0</v>
      </c>
      <c r="P48" s="24">
        <f t="shared" si="29"/>
        <v>0</v>
      </c>
      <c r="Q48" s="24">
        <f t="shared" si="30"/>
        <v>0</v>
      </c>
      <c r="R48" s="24">
        <f t="shared" si="31"/>
        <v>0</v>
      </c>
      <c r="S48" s="24">
        <f t="shared" si="32"/>
        <v>0</v>
      </c>
      <c r="T48" s="24">
        <f t="shared" si="33"/>
        <v>0</v>
      </c>
      <c r="V48" s="24"/>
      <c r="W48" s="24"/>
      <c r="X48" s="24"/>
      <c r="Y48" s="24"/>
      <c r="Z48" s="24"/>
      <c r="AA48" s="24"/>
    </row>
    <row r="49" spans="1:27" ht="33" customHeight="1" x14ac:dyDescent="0.2">
      <c r="A49" s="21">
        <v>37</v>
      </c>
      <c r="B49" s="25">
        <v>125</v>
      </c>
      <c r="C49" s="40">
        <f t="shared" si="17"/>
        <v>0</v>
      </c>
      <c r="D49" s="40">
        <f t="shared" si="18"/>
        <v>0</v>
      </c>
      <c r="E49" s="40">
        <f t="shared" si="19"/>
        <v>0</v>
      </c>
      <c r="F49" s="40">
        <f t="shared" si="20"/>
        <v>0</v>
      </c>
      <c r="G49" s="40">
        <f t="shared" si="21"/>
        <v>0</v>
      </c>
      <c r="H49" s="40">
        <f t="shared" si="22"/>
        <v>0</v>
      </c>
      <c r="I49" s="23">
        <f t="shared" si="23"/>
        <v>0</v>
      </c>
      <c r="J49" s="23">
        <f t="shared" si="24"/>
        <v>125</v>
      </c>
      <c r="K49" s="23">
        <f t="shared" si="25"/>
        <v>0</v>
      </c>
      <c r="L49" s="24">
        <f t="shared" si="26"/>
        <v>37.269999999999996</v>
      </c>
      <c r="M49" s="24">
        <f t="shared" si="27"/>
        <v>37.269999999999996</v>
      </c>
      <c r="O49" s="24">
        <f t="shared" si="28"/>
        <v>0</v>
      </c>
      <c r="P49" s="24">
        <f t="shared" si="29"/>
        <v>0</v>
      </c>
      <c r="Q49" s="24">
        <f t="shared" si="30"/>
        <v>0</v>
      </c>
      <c r="R49" s="24">
        <f t="shared" si="31"/>
        <v>0</v>
      </c>
      <c r="S49" s="24">
        <f t="shared" si="32"/>
        <v>0</v>
      </c>
      <c r="T49" s="24">
        <f t="shared" si="33"/>
        <v>0</v>
      </c>
      <c r="V49" s="24"/>
      <c r="W49" s="24"/>
      <c r="X49" s="24"/>
      <c r="Y49" s="24"/>
      <c r="Z49" s="24"/>
      <c r="AA49" s="24"/>
    </row>
    <row r="50" spans="1:27" ht="33" customHeight="1" x14ac:dyDescent="0.2">
      <c r="A50" s="21">
        <v>38</v>
      </c>
      <c r="B50" s="25">
        <v>119</v>
      </c>
      <c r="C50" s="40">
        <f t="shared" si="17"/>
        <v>0</v>
      </c>
      <c r="D50" s="40">
        <f t="shared" si="18"/>
        <v>0</v>
      </c>
      <c r="E50" s="40">
        <f t="shared" si="19"/>
        <v>0</v>
      </c>
      <c r="F50" s="40">
        <f t="shared" si="20"/>
        <v>0</v>
      </c>
      <c r="G50" s="40">
        <f t="shared" si="21"/>
        <v>0</v>
      </c>
      <c r="H50" s="40">
        <f t="shared" si="22"/>
        <v>0</v>
      </c>
      <c r="I50" s="23">
        <f t="shared" si="23"/>
        <v>0</v>
      </c>
      <c r="J50" s="23">
        <f t="shared" si="24"/>
        <v>119</v>
      </c>
      <c r="K50" s="23">
        <f t="shared" si="25"/>
        <v>0</v>
      </c>
      <c r="L50" s="24">
        <f t="shared" si="26"/>
        <v>31.269999999999996</v>
      </c>
      <c r="M50" s="24">
        <f t="shared" si="27"/>
        <v>31.269999999999996</v>
      </c>
      <c r="O50" s="24">
        <f t="shared" si="28"/>
        <v>0</v>
      </c>
      <c r="P50" s="24">
        <f t="shared" si="29"/>
        <v>0</v>
      </c>
      <c r="Q50" s="24">
        <f t="shared" si="30"/>
        <v>0</v>
      </c>
      <c r="R50" s="24">
        <f t="shared" si="31"/>
        <v>0</v>
      </c>
      <c r="S50" s="24">
        <f t="shared" si="32"/>
        <v>0</v>
      </c>
      <c r="T50" s="24">
        <f t="shared" si="33"/>
        <v>0</v>
      </c>
      <c r="V50" s="24"/>
      <c r="W50" s="24"/>
      <c r="X50" s="24"/>
      <c r="Y50" s="24"/>
      <c r="Z50" s="24"/>
      <c r="AA50" s="24"/>
    </row>
    <row r="51" spans="1:27" ht="33" customHeight="1" x14ac:dyDescent="0.2">
      <c r="A51" s="21">
        <v>39</v>
      </c>
      <c r="B51" s="25">
        <v>100</v>
      </c>
      <c r="C51" s="40">
        <f t="shared" si="17"/>
        <v>0</v>
      </c>
      <c r="D51" s="40">
        <f t="shared" si="18"/>
        <v>0</v>
      </c>
      <c r="E51" s="40">
        <f t="shared" si="19"/>
        <v>0</v>
      </c>
      <c r="F51" s="40">
        <f t="shared" si="20"/>
        <v>0</v>
      </c>
      <c r="G51" s="40">
        <f t="shared" si="21"/>
        <v>0</v>
      </c>
      <c r="H51" s="40">
        <f t="shared" si="22"/>
        <v>0</v>
      </c>
      <c r="I51" s="23">
        <f t="shared" si="23"/>
        <v>0</v>
      </c>
      <c r="J51" s="23">
        <f t="shared" si="24"/>
        <v>100</v>
      </c>
      <c r="K51" s="23">
        <f t="shared" si="25"/>
        <v>0</v>
      </c>
      <c r="L51" s="24">
        <f t="shared" si="26"/>
        <v>12.269999999999996</v>
      </c>
      <c r="M51" s="24">
        <f t="shared" si="27"/>
        <v>12.269999999999996</v>
      </c>
      <c r="O51" s="24">
        <f t="shared" si="28"/>
        <v>0</v>
      </c>
      <c r="P51" s="24">
        <f t="shared" si="29"/>
        <v>0</v>
      </c>
      <c r="Q51" s="24">
        <f t="shared" si="30"/>
        <v>0</v>
      </c>
      <c r="R51" s="24">
        <f t="shared" si="31"/>
        <v>0</v>
      </c>
      <c r="S51" s="24">
        <f t="shared" si="32"/>
        <v>0</v>
      </c>
      <c r="T51" s="24">
        <f t="shared" si="33"/>
        <v>0</v>
      </c>
      <c r="V51" s="24"/>
      <c r="W51" s="24"/>
      <c r="X51" s="24"/>
      <c r="Y51" s="24"/>
      <c r="Z51" s="24"/>
      <c r="AA51" s="24"/>
    </row>
    <row r="52" spans="1:27" ht="33" customHeight="1" x14ac:dyDescent="0.2">
      <c r="A52" s="21">
        <v>40</v>
      </c>
      <c r="B52" s="25">
        <v>119</v>
      </c>
      <c r="C52" s="40">
        <f t="shared" si="17"/>
        <v>0</v>
      </c>
      <c r="D52" s="40">
        <f t="shared" si="18"/>
        <v>0</v>
      </c>
      <c r="E52" s="40">
        <f t="shared" si="19"/>
        <v>0</v>
      </c>
      <c r="F52" s="40">
        <f t="shared" si="20"/>
        <v>0</v>
      </c>
      <c r="G52" s="40">
        <f t="shared" si="21"/>
        <v>0</v>
      </c>
      <c r="H52" s="40">
        <f t="shared" si="22"/>
        <v>0</v>
      </c>
      <c r="I52" s="23">
        <f t="shared" si="23"/>
        <v>0</v>
      </c>
      <c r="J52" s="23">
        <f t="shared" si="24"/>
        <v>119</v>
      </c>
      <c r="K52" s="23">
        <f t="shared" si="25"/>
        <v>0</v>
      </c>
      <c r="L52" s="24">
        <f t="shared" si="26"/>
        <v>31.269999999999996</v>
      </c>
      <c r="M52" s="24">
        <f t="shared" si="27"/>
        <v>31.269999999999996</v>
      </c>
      <c r="O52" s="24">
        <f t="shared" si="28"/>
        <v>0</v>
      </c>
      <c r="P52" s="24">
        <f t="shared" si="29"/>
        <v>0</v>
      </c>
      <c r="Q52" s="24">
        <f t="shared" si="30"/>
        <v>0</v>
      </c>
      <c r="R52" s="24">
        <f t="shared" si="31"/>
        <v>0</v>
      </c>
      <c r="S52" s="24">
        <f t="shared" si="32"/>
        <v>0</v>
      </c>
      <c r="T52" s="24">
        <f t="shared" si="33"/>
        <v>0</v>
      </c>
      <c r="V52" s="24"/>
      <c r="W52" s="24"/>
      <c r="X52" s="24"/>
      <c r="Y52" s="24"/>
      <c r="Z52" s="24"/>
      <c r="AA52" s="24"/>
    </row>
    <row r="53" spans="1:27" ht="33" customHeight="1" x14ac:dyDescent="0.2">
      <c r="A53" s="21">
        <v>41</v>
      </c>
      <c r="B53" s="25">
        <v>134</v>
      </c>
      <c r="C53" s="40">
        <f t="shared" si="17"/>
        <v>0</v>
      </c>
      <c r="D53" s="40">
        <f t="shared" si="18"/>
        <v>0</v>
      </c>
      <c r="E53" s="40">
        <f t="shared" si="19"/>
        <v>0</v>
      </c>
      <c r="F53" s="40">
        <f t="shared" si="20"/>
        <v>0</v>
      </c>
      <c r="G53" s="40">
        <f t="shared" si="21"/>
        <v>0</v>
      </c>
      <c r="H53" s="40">
        <f t="shared" si="22"/>
        <v>0</v>
      </c>
      <c r="I53" s="23">
        <f t="shared" si="23"/>
        <v>0</v>
      </c>
      <c r="J53" s="23">
        <f t="shared" si="24"/>
        <v>134</v>
      </c>
      <c r="K53" s="23">
        <f t="shared" si="25"/>
        <v>0</v>
      </c>
      <c r="L53" s="24">
        <f t="shared" si="26"/>
        <v>46.269999999999996</v>
      </c>
      <c r="M53" s="24">
        <f t="shared" si="27"/>
        <v>46.269999999999996</v>
      </c>
      <c r="O53" s="24">
        <f t="shared" si="28"/>
        <v>0</v>
      </c>
      <c r="P53" s="24">
        <f t="shared" si="29"/>
        <v>0</v>
      </c>
      <c r="Q53" s="24">
        <f t="shared" si="30"/>
        <v>0</v>
      </c>
      <c r="R53" s="24">
        <f t="shared" si="31"/>
        <v>0</v>
      </c>
      <c r="S53" s="24">
        <f t="shared" si="32"/>
        <v>0</v>
      </c>
      <c r="T53" s="24">
        <f t="shared" si="33"/>
        <v>0</v>
      </c>
      <c r="V53" s="24"/>
      <c r="W53" s="24"/>
      <c r="X53" s="24"/>
      <c r="Y53" s="24"/>
      <c r="Z53" s="24"/>
      <c r="AA53" s="24"/>
    </row>
    <row r="54" spans="1:27" ht="33" customHeight="1" x14ac:dyDescent="0.2">
      <c r="A54" s="21">
        <v>42</v>
      </c>
      <c r="B54" s="25">
        <v>129</v>
      </c>
      <c r="C54" s="40">
        <f t="shared" si="17"/>
        <v>0</v>
      </c>
      <c r="D54" s="40">
        <f t="shared" si="18"/>
        <v>0</v>
      </c>
      <c r="E54" s="40">
        <f t="shared" si="19"/>
        <v>0</v>
      </c>
      <c r="F54" s="40">
        <f t="shared" si="20"/>
        <v>0</v>
      </c>
      <c r="G54" s="40">
        <f t="shared" si="21"/>
        <v>0</v>
      </c>
      <c r="H54" s="40">
        <f t="shared" si="22"/>
        <v>0</v>
      </c>
      <c r="I54" s="23">
        <f t="shared" si="23"/>
        <v>0</v>
      </c>
      <c r="J54" s="23">
        <f t="shared" si="24"/>
        <v>129</v>
      </c>
      <c r="K54" s="23">
        <f t="shared" si="25"/>
        <v>0</v>
      </c>
      <c r="L54" s="24">
        <f t="shared" si="26"/>
        <v>41.269999999999996</v>
      </c>
      <c r="M54" s="24">
        <f t="shared" si="27"/>
        <v>41.269999999999996</v>
      </c>
      <c r="O54" s="24">
        <f t="shared" si="28"/>
        <v>0</v>
      </c>
      <c r="P54" s="24">
        <f t="shared" si="29"/>
        <v>0</v>
      </c>
      <c r="Q54" s="24">
        <f t="shared" si="30"/>
        <v>0</v>
      </c>
      <c r="R54" s="24">
        <f t="shared" si="31"/>
        <v>0</v>
      </c>
      <c r="S54" s="24">
        <f t="shared" si="32"/>
        <v>0</v>
      </c>
      <c r="T54" s="24">
        <f t="shared" si="33"/>
        <v>0</v>
      </c>
      <c r="V54" s="24"/>
      <c r="W54" s="24"/>
      <c r="X54" s="24"/>
      <c r="Y54" s="24"/>
      <c r="Z54" s="24"/>
      <c r="AA54" s="24"/>
    </row>
    <row r="55" spans="1:27" ht="33" customHeight="1" x14ac:dyDescent="0.2">
      <c r="A55" s="21">
        <v>43</v>
      </c>
      <c r="B55" s="25">
        <v>118</v>
      </c>
      <c r="C55" s="40">
        <f t="shared" si="17"/>
        <v>0</v>
      </c>
      <c r="D55" s="40">
        <f t="shared" si="18"/>
        <v>0</v>
      </c>
      <c r="E55" s="40">
        <f t="shared" si="19"/>
        <v>0</v>
      </c>
      <c r="F55" s="40">
        <f t="shared" si="20"/>
        <v>0</v>
      </c>
      <c r="G55" s="40">
        <f t="shared" si="21"/>
        <v>0</v>
      </c>
      <c r="H55" s="40">
        <f t="shared" si="22"/>
        <v>0</v>
      </c>
      <c r="I55" s="23">
        <f t="shared" si="23"/>
        <v>0</v>
      </c>
      <c r="J55" s="23">
        <f t="shared" si="24"/>
        <v>118</v>
      </c>
      <c r="K55" s="23">
        <f t="shared" si="25"/>
        <v>0</v>
      </c>
      <c r="L55" s="24">
        <f t="shared" si="26"/>
        <v>30.269999999999996</v>
      </c>
      <c r="M55" s="24">
        <f t="shared" si="27"/>
        <v>30.269999999999996</v>
      </c>
      <c r="O55" s="24">
        <f t="shared" si="28"/>
        <v>0</v>
      </c>
      <c r="P55" s="24">
        <f t="shared" si="29"/>
        <v>0</v>
      </c>
      <c r="Q55" s="24">
        <f t="shared" si="30"/>
        <v>0</v>
      </c>
      <c r="R55" s="24">
        <f t="shared" si="31"/>
        <v>0</v>
      </c>
      <c r="S55" s="24">
        <f t="shared" si="32"/>
        <v>0</v>
      </c>
      <c r="T55" s="24">
        <f t="shared" si="33"/>
        <v>0</v>
      </c>
      <c r="V55" s="24"/>
      <c r="W55" s="24"/>
      <c r="X55" s="24"/>
      <c r="Y55" s="24"/>
      <c r="Z55" s="24"/>
      <c r="AA55" s="24"/>
    </row>
    <row r="56" spans="1:27" ht="33" customHeight="1" x14ac:dyDescent="0.2">
      <c r="A56" s="21">
        <v>44</v>
      </c>
      <c r="B56" s="25">
        <v>94</v>
      </c>
      <c r="C56" s="40">
        <f t="shared" si="17"/>
        <v>0</v>
      </c>
      <c r="D56" s="40">
        <f t="shared" si="18"/>
        <v>0</v>
      </c>
      <c r="E56" s="40">
        <f t="shared" si="19"/>
        <v>0</v>
      </c>
      <c r="F56" s="40">
        <f t="shared" si="20"/>
        <v>0</v>
      </c>
      <c r="G56" s="40">
        <f t="shared" si="21"/>
        <v>0</v>
      </c>
      <c r="H56" s="40">
        <f t="shared" si="22"/>
        <v>0</v>
      </c>
      <c r="I56" s="23">
        <f t="shared" si="23"/>
        <v>0</v>
      </c>
      <c r="J56" s="23">
        <f t="shared" si="24"/>
        <v>94</v>
      </c>
      <c r="K56" s="23">
        <f t="shared" si="25"/>
        <v>0</v>
      </c>
      <c r="L56" s="24">
        <f t="shared" si="26"/>
        <v>6.269999999999996</v>
      </c>
      <c r="M56" s="24">
        <f t="shared" si="27"/>
        <v>6.269999999999996</v>
      </c>
      <c r="O56" s="24">
        <f t="shared" si="28"/>
        <v>0</v>
      </c>
      <c r="P56" s="24">
        <f t="shared" si="29"/>
        <v>0</v>
      </c>
      <c r="Q56" s="24">
        <f t="shared" si="30"/>
        <v>0</v>
      </c>
      <c r="R56" s="24">
        <f t="shared" si="31"/>
        <v>0</v>
      </c>
      <c r="S56" s="24">
        <f t="shared" si="32"/>
        <v>0</v>
      </c>
      <c r="T56" s="24">
        <f t="shared" si="33"/>
        <v>0</v>
      </c>
      <c r="V56" s="24"/>
      <c r="W56" s="24"/>
      <c r="X56" s="24"/>
      <c r="Y56" s="24"/>
      <c r="Z56" s="24"/>
      <c r="AA56" s="24"/>
    </row>
    <row r="57" spans="1:27" ht="33" customHeight="1" x14ac:dyDescent="0.2">
      <c r="A57" s="21">
        <v>45</v>
      </c>
      <c r="B57" s="25">
        <v>80</v>
      </c>
      <c r="C57" s="40">
        <f t="shared" si="17"/>
        <v>0</v>
      </c>
      <c r="D57" s="40">
        <f t="shared" si="18"/>
        <v>0</v>
      </c>
      <c r="E57" s="40">
        <f t="shared" si="19"/>
        <v>0</v>
      </c>
      <c r="F57" s="40">
        <f t="shared" si="20"/>
        <v>0</v>
      </c>
      <c r="G57" s="40">
        <f t="shared" si="21"/>
        <v>0</v>
      </c>
      <c r="H57" s="40">
        <f t="shared" si="22"/>
        <v>0</v>
      </c>
      <c r="I57" s="23">
        <f t="shared" si="23"/>
        <v>0</v>
      </c>
      <c r="J57" s="23">
        <f t="shared" si="24"/>
        <v>80</v>
      </c>
      <c r="K57" s="23">
        <f t="shared" si="25"/>
        <v>0</v>
      </c>
      <c r="L57" s="24">
        <f t="shared" si="26"/>
        <v>7.730000000000004</v>
      </c>
      <c r="M57" s="24">
        <f t="shared" si="27"/>
        <v>7.730000000000004</v>
      </c>
      <c r="O57" s="24">
        <f t="shared" si="28"/>
        <v>0</v>
      </c>
      <c r="P57" s="24">
        <f t="shared" si="29"/>
        <v>0</v>
      </c>
      <c r="Q57" s="24">
        <f t="shared" si="30"/>
        <v>0</v>
      </c>
      <c r="R57" s="24">
        <f t="shared" si="31"/>
        <v>0</v>
      </c>
      <c r="S57" s="24">
        <f t="shared" si="32"/>
        <v>0</v>
      </c>
      <c r="T57" s="24">
        <f t="shared" si="33"/>
        <v>0</v>
      </c>
      <c r="V57" s="24"/>
      <c r="W57" s="24"/>
      <c r="X57" s="24"/>
      <c r="Y57" s="24"/>
      <c r="Z57" s="24"/>
      <c r="AA57" s="24"/>
    </row>
    <row r="58" spans="1:27" ht="33" customHeight="1" x14ac:dyDescent="0.2">
      <c r="A58" s="21">
        <v>46</v>
      </c>
      <c r="B58" s="25">
        <v>97</v>
      </c>
      <c r="C58" s="40">
        <f t="shared" si="17"/>
        <v>0</v>
      </c>
      <c r="D58" s="40">
        <f t="shared" si="18"/>
        <v>0</v>
      </c>
      <c r="E58" s="40">
        <f t="shared" si="19"/>
        <v>0</v>
      </c>
      <c r="F58" s="40">
        <f t="shared" si="20"/>
        <v>0</v>
      </c>
      <c r="G58" s="40">
        <f t="shared" si="21"/>
        <v>0</v>
      </c>
      <c r="H58" s="40">
        <f t="shared" si="22"/>
        <v>0</v>
      </c>
      <c r="I58" s="23">
        <f t="shared" si="23"/>
        <v>0</v>
      </c>
      <c r="J58" s="23">
        <f t="shared" si="24"/>
        <v>97</v>
      </c>
      <c r="K58" s="23">
        <f t="shared" si="25"/>
        <v>0</v>
      </c>
      <c r="L58" s="24">
        <f t="shared" si="26"/>
        <v>9.269999999999996</v>
      </c>
      <c r="M58" s="24">
        <f t="shared" si="27"/>
        <v>9.269999999999996</v>
      </c>
      <c r="O58" s="24">
        <f t="shared" si="28"/>
        <v>0</v>
      </c>
      <c r="P58" s="24">
        <f t="shared" si="29"/>
        <v>0</v>
      </c>
      <c r="Q58" s="24">
        <f t="shared" si="30"/>
        <v>0</v>
      </c>
      <c r="R58" s="24">
        <f t="shared" si="31"/>
        <v>0</v>
      </c>
      <c r="S58" s="24">
        <f t="shared" si="32"/>
        <v>0</v>
      </c>
      <c r="T58" s="24">
        <f t="shared" si="33"/>
        <v>0</v>
      </c>
      <c r="V58" s="24"/>
      <c r="W58" s="24"/>
      <c r="X58" s="24"/>
      <c r="Y58" s="24"/>
      <c r="Z58" s="24"/>
      <c r="AA58" s="24"/>
    </row>
    <row r="59" spans="1:27" ht="33" customHeight="1" x14ac:dyDescent="0.2">
      <c r="A59" s="21">
        <v>47</v>
      </c>
      <c r="B59" s="25">
        <v>46</v>
      </c>
      <c r="C59" s="40">
        <f t="shared" si="17"/>
        <v>0</v>
      </c>
      <c r="D59" s="40">
        <f t="shared" si="18"/>
        <v>0</v>
      </c>
      <c r="E59" s="40">
        <f t="shared" si="19"/>
        <v>0</v>
      </c>
      <c r="F59" s="40">
        <f t="shared" si="20"/>
        <v>0</v>
      </c>
      <c r="G59" s="40">
        <f t="shared" si="21"/>
        <v>0</v>
      </c>
      <c r="H59" s="40">
        <f t="shared" si="22"/>
        <v>0</v>
      </c>
      <c r="I59" s="23">
        <f t="shared" si="23"/>
        <v>0</v>
      </c>
      <c r="J59" s="23">
        <f t="shared" si="24"/>
        <v>46</v>
      </c>
      <c r="K59" s="23">
        <f t="shared" si="25"/>
        <v>0</v>
      </c>
      <c r="L59" s="24">
        <f t="shared" si="26"/>
        <v>41.730000000000004</v>
      </c>
      <c r="M59" s="24">
        <f t="shared" si="27"/>
        <v>41.730000000000004</v>
      </c>
      <c r="O59" s="24">
        <f t="shared" si="28"/>
        <v>0</v>
      </c>
      <c r="P59" s="24">
        <f t="shared" si="29"/>
        <v>0</v>
      </c>
      <c r="Q59" s="24">
        <f t="shared" si="30"/>
        <v>0</v>
      </c>
      <c r="R59" s="24">
        <f t="shared" si="31"/>
        <v>0</v>
      </c>
      <c r="S59" s="24">
        <f t="shared" si="32"/>
        <v>0</v>
      </c>
      <c r="T59" s="24">
        <f t="shared" si="33"/>
        <v>0</v>
      </c>
      <c r="V59" s="24"/>
      <c r="W59" s="24"/>
      <c r="X59" s="24"/>
      <c r="Y59" s="24"/>
      <c r="Z59" s="24"/>
      <c r="AA59" s="24"/>
    </row>
    <row r="60" spans="1:27" ht="33" customHeight="1" x14ac:dyDescent="0.2">
      <c r="A60" s="21">
        <v>48</v>
      </c>
      <c r="B60" s="25">
        <v>94</v>
      </c>
      <c r="C60" s="40">
        <f t="shared" si="17"/>
        <v>0</v>
      </c>
      <c r="D60" s="40">
        <f t="shared" si="18"/>
        <v>0</v>
      </c>
      <c r="E60" s="40">
        <f t="shared" si="19"/>
        <v>0</v>
      </c>
      <c r="F60" s="40">
        <f t="shared" si="20"/>
        <v>0</v>
      </c>
      <c r="G60" s="40">
        <f t="shared" si="21"/>
        <v>0</v>
      </c>
      <c r="H60" s="40">
        <f t="shared" si="22"/>
        <v>0</v>
      </c>
      <c r="I60" s="23">
        <f t="shared" si="23"/>
        <v>0</v>
      </c>
      <c r="J60" s="23">
        <f t="shared" si="24"/>
        <v>94</v>
      </c>
      <c r="K60" s="23">
        <f t="shared" si="25"/>
        <v>0</v>
      </c>
      <c r="L60" s="24">
        <f t="shared" si="26"/>
        <v>6.269999999999996</v>
      </c>
      <c r="M60" s="24">
        <f t="shared" si="27"/>
        <v>6.269999999999996</v>
      </c>
      <c r="O60" s="24">
        <f t="shared" si="28"/>
        <v>0</v>
      </c>
      <c r="P60" s="24">
        <f t="shared" si="29"/>
        <v>0</v>
      </c>
      <c r="Q60" s="24">
        <f t="shared" si="30"/>
        <v>0</v>
      </c>
      <c r="R60" s="24">
        <f t="shared" si="31"/>
        <v>0</v>
      </c>
      <c r="S60" s="24">
        <f t="shared" si="32"/>
        <v>0</v>
      </c>
      <c r="T60" s="24">
        <f t="shared" si="33"/>
        <v>0</v>
      </c>
      <c r="V60" s="24"/>
      <c r="W60" s="24"/>
      <c r="X60" s="24"/>
      <c r="Y60" s="24"/>
      <c r="Z60" s="24"/>
      <c r="AA60" s="24"/>
    </row>
    <row r="61" spans="1:27" ht="33" customHeight="1" x14ac:dyDescent="0.2">
      <c r="A61" s="21">
        <v>49</v>
      </c>
      <c r="B61" s="25">
        <v>132</v>
      </c>
      <c r="C61" s="40">
        <f t="shared" si="17"/>
        <v>0</v>
      </c>
      <c r="D61" s="40">
        <f t="shared" si="18"/>
        <v>0</v>
      </c>
      <c r="E61" s="40">
        <f t="shared" si="19"/>
        <v>0</v>
      </c>
      <c r="F61" s="40">
        <f t="shared" si="20"/>
        <v>0</v>
      </c>
      <c r="G61" s="40">
        <f t="shared" si="21"/>
        <v>0</v>
      </c>
      <c r="H61" s="40">
        <f t="shared" si="22"/>
        <v>0</v>
      </c>
      <c r="I61" s="23">
        <f t="shared" si="23"/>
        <v>0</v>
      </c>
      <c r="J61" s="23">
        <f t="shared" si="24"/>
        <v>132</v>
      </c>
      <c r="K61" s="23">
        <f t="shared" si="25"/>
        <v>0</v>
      </c>
      <c r="L61" s="24">
        <f t="shared" si="26"/>
        <v>44.269999999999996</v>
      </c>
      <c r="M61" s="24">
        <f t="shared" si="27"/>
        <v>44.269999999999996</v>
      </c>
      <c r="O61" s="24">
        <f t="shared" si="28"/>
        <v>0</v>
      </c>
      <c r="P61" s="24">
        <f t="shared" si="29"/>
        <v>0</v>
      </c>
      <c r="Q61" s="24">
        <f t="shared" si="30"/>
        <v>0</v>
      </c>
      <c r="R61" s="24">
        <f t="shared" si="31"/>
        <v>0</v>
      </c>
      <c r="S61" s="24">
        <f t="shared" si="32"/>
        <v>0</v>
      </c>
      <c r="T61" s="24">
        <f t="shared" si="33"/>
        <v>0</v>
      </c>
      <c r="V61" s="24"/>
      <c r="W61" s="24"/>
      <c r="X61" s="24"/>
      <c r="Y61" s="24"/>
      <c r="Z61" s="24"/>
      <c r="AA61" s="24"/>
    </row>
    <row r="62" spans="1:27" ht="33" customHeight="1" x14ac:dyDescent="0.2">
      <c r="A62" s="21">
        <v>50</v>
      </c>
      <c r="B62" s="25">
        <v>35</v>
      </c>
      <c r="C62" s="40">
        <f t="shared" si="17"/>
        <v>0</v>
      </c>
      <c r="D62" s="40">
        <f t="shared" si="18"/>
        <v>0</v>
      </c>
      <c r="E62" s="40">
        <f t="shared" si="19"/>
        <v>0</v>
      </c>
      <c r="F62" s="40">
        <f t="shared" si="20"/>
        <v>0</v>
      </c>
      <c r="G62" s="40">
        <f t="shared" si="21"/>
        <v>0</v>
      </c>
      <c r="H62" s="40">
        <f t="shared" si="22"/>
        <v>0</v>
      </c>
      <c r="I62" s="23">
        <f t="shared" si="23"/>
        <v>0</v>
      </c>
      <c r="J62" s="23">
        <f t="shared" si="24"/>
        <v>35</v>
      </c>
      <c r="K62" s="23">
        <f t="shared" si="25"/>
        <v>0</v>
      </c>
      <c r="L62" s="24">
        <f t="shared" si="26"/>
        <v>52.730000000000004</v>
      </c>
      <c r="M62" s="24">
        <f t="shared" si="27"/>
        <v>52.730000000000004</v>
      </c>
      <c r="O62" s="24">
        <f t="shared" si="28"/>
        <v>0</v>
      </c>
      <c r="P62" s="24">
        <f t="shared" si="29"/>
        <v>0</v>
      </c>
      <c r="Q62" s="24">
        <f t="shared" si="30"/>
        <v>0</v>
      </c>
      <c r="R62" s="24">
        <f t="shared" si="31"/>
        <v>0</v>
      </c>
      <c r="S62" s="24">
        <f t="shared" si="32"/>
        <v>0</v>
      </c>
      <c r="T62" s="24">
        <f t="shared" si="33"/>
        <v>0</v>
      </c>
      <c r="V62" s="24"/>
      <c r="W62" s="24"/>
      <c r="X62" s="24"/>
      <c r="Y62" s="24"/>
      <c r="Z62" s="24"/>
      <c r="AA62" s="24"/>
    </row>
    <row r="63" spans="1:27" ht="33" customHeight="1" x14ac:dyDescent="0.2">
      <c r="A63" s="21">
        <v>51</v>
      </c>
      <c r="B63" s="25">
        <v>133</v>
      </c>
      <c r="C63" s="40">
        <f t="shared" si="17"/>
        <v>0</v>
      </c>
      <c r="D63" s="40">
        <f t="shared" si="18"/>
        <v>0</v>
      </c>
      <c r="E63" s="40">
        <f t="shared" si="19"/>
        <v>0</v>
      </c>
      <c r="F63" s="40">
        <f t="shared" si="20"/>
        <v>0</v>
      </c>
      <c r="G63" s="40">
        <f t="shared" si="21"/>
        <v>0</v>
      </c>
      <c r="H63" s="40">
        <f t="shared" si="22"/>
        <v>0</v>
      </c>
      <c r="I63" s="23">
        <f t="shared" si="23"/>
        <v>0</v>
      </c>
      <c r="J63" s="23">
        <f t="shared" si="24"/>
        <v>133</v>
      </c>
      <c r="K63" s="23">
        <f t="shared" si="25"/>
        <v>0</v>
      </c>
      <c r="L63" s="24">
        <f t="shared" si="26"/>
        <v>45.269999999999996</v>
      </c>
      <c r="M63" s="24">
        <f t="shared" si="27"/>
        <v>45.269999999999996</v>
      </c>
      <c r="O63" s="24">
        <f t="shared" si="28"/>
        <v>0</v>
      </c>
      <c r="P63" s="24">
        <f t="shared" si="29"/>
        <v>0</v>
      </c>
      <c r="Q63" s="24">
        <f t="shared" si="30"/>
        <v>0</v>
      </c>
      <c r="R63" s="24">
        <f t="shared" si="31"/>
        <v>0</v>
      </c>
      <c r="S63" s="24">
        <f t="shared" si="32"/>
        <v>0</v>
      </c>
      <c r="T63" s="24">
        <f t="shared" si="33"/>
        <v>0</v>
      </c>
      <c r="V63" s="24"/>
      <c r="W63" s="24"/>
      <c r="X63" s="24"/>
      <c r="Y63" s="24"/>
      <c r="Z63" s="24"/>
      <c r="AA63" s="24"/>
    </row>
    <row r="64" spans="1:27" ht="33" customHeight="1" x14ac:dyDescent="0.2">
      <c r="A64" s="21">
        <v>52</v>
      </c>
      <c r="B64" s="25">
        <v>99</v>
      </c>
      <c r="C64" s="40">
        <f t="shared" si="17"/>
        <v>0</v>
      </c>
      <c r="D64" s="40">
        <f t="shared" si="18"/>
        <v>0</v>
      </c>
      <c r="E64" s="40">
        <f t="shared" si="19"/>
        <v>0</v>
      </c>
      <c r="F64" s="40">
        <f t="shared" si="20"/>
        <v>0</v>
      </c>
      <c r="G64" s="40">
        <f t="shared" si="21"/>
        <v>0</v>
      </c>
      <c r="H64" s="40">
        <f t="shared" si="22"/>
        <v>0</v>
      </c>
      <c r="I64" s="23">
        <f t="shared" si="23"/>
        <v>0</v>
      </c>
      <c r="J64" s="23">
        <f t="shared" si="24"/>
        <v>99</v>
      </c>
      <c r="K64" s="23">
        <f t="shared" si="25"/>
        <v>0</v>
      </c>
      <c r="L64" s="24">
        <f t="shared" si="26"/>
        <v>11.269999999999996</v>
      </c>
      <c r="M64" s="24">
        <f t="shared" si="27"/>
        <v>11.269999999999996</v>
      </c>
      <c r="O64" s="24">
        <f t="shared" si="28"/>
        <v>0</v>
      </c>
      <c r="P64" s="24">
        <f t="shared" si="29"/>
        <v>0</v>
      </c>
      <c r="Q64" s="24">
        <f t="shared" si="30"/>
        <v>0</v>
      </c>
      <c r="R64" s="24">
        <f t="shared" si="31"/>
        <v>0</v>
      </c>
      <c r="S64" s="24">
        <f t="shared" si="32"/>
        <v>0</v>
      </c>
      <c r="T64" s="24">
        <f t="shared" si="33"/>
        <v>0</v>
      </c>
      <c r="V64" s="24"/>
      <c r="W64" s="24"/>
      <c r="X64" s="24"/>
      <c r="Y64" s="24"/>
      <c r="Z64" s="24"/>
      <c r="AA64" s="24"/>
    </row>
    <row r="65" spans="1:27" ht="33" customHeight="1" x14ac:dyDescent="0.2">
      <c r="A65" s="21">
        <v>53</v>
      </c>
      <c r="B65" s="25">
        <v>115</v>
      </c>
      <c r="C65" s="40">
        <f t="shared" si="17"/>
        <v>0</v>
      </c>
      <c r="D65" s="40">
        <f t="shared" si="18"/>
        <v>0</v>
      </c>
      <c r="E65" s="40">
        <f t="shared" si="19"/>
        <v>0</v>
      </c>
      <c r="F65" s="40">
        <f t="shared" si="20"/>
        <v>0</v>
      </c>
      <c r="G65" s="40">
        <f t="shared" si="21"/>
        <v>0</v>
      </c>
      <c r="H65" s="40">
        <f t="shared" si="22"/>
        <v>0</v>
      </c>
      <c r="I65" s="23">
        <f t="shared" si="23"/>
        <v>0</v>
      </c>
      <c r="J65" s="23">
        <f t="shared" si="24"/>
        <v>115</v>
      </c>
      <c r="K65" s="23">
        <f t="shared" si="25"/>
        <v>0</v>
      </c>
      <c r="L65" s="24">
        <f t="shared" si="26"/>
        <v>27.269999999999996</v>
      </c>
      <c r="M65" s="24">
        <f t="shared" si="27"/>
        <v>27.269999999999996</v>
      </c>
      <c r="O65" s="24">
        <f t="shared" si="28"/>
        <v>0</v>
      </c>
      <c r="P65" s="24">
        <f t="shared" si="29"/>
        <v>0</v>
      </c>
      <c r="Q65" s="24">
        <f t="shared" si="30"/>
        <v>0</v>
      </c>
      <c r="R65" s="24">
        <f t="shared" si="31"/>
        <v>0</v>
      </c>
      <c r="S65" s="24">
        <f t="shared" si="32"/>
        <v>0</v>
      </c>
      <c r="T65" s="24">
        <f t="shared" si="33"/>
        <v>0</v>
      </c>
      <c r="V65" s="24"/>
      <c r="W65" s="24"/>
      <c r="X65" s="24"/>
      <c r="Y65" s="24"/>
      <c r="Z65" s="24"/>
      <c r="AA65" s="24"/>
    </row>
    <row r="66" spans="1:27" ht="33" customHeight="1" x14ac:dyDescent="0.2">
      <c r="A66" s="21">
        <v>54</v>
      </c>
      <c r="B66" s="25">
        <v>53</v>
      </c>
      <c r="C66" s="40">
        <f t="shared" si="17"/>
        <v>0</v>
      </c>
      <c r="D66" s="40">
        <f t="shared" si="18"/>
        <v>0</v>
      </c>
      <c r="E66" s="40">
        <f t="shared" si="19"/>
        <v>0</v>
      </c>
      <c r="F66" s="40">
        <f t="shared" si="20"/>
        <v>0</v>
      </c>
      <c r="G66" s="40">
        <f t="shared" si="21"/>
        <v>0</v>
      </c>
      <c r="H66" s="40">
        <f t="shared" si="22"/>
        <v>0</v>
      </c>
      <c r="I66" s="23">
        <f t="shared" si="23"/>
        <v>0</v>
      </c>
      <c r="J66" s="23">
        <f t="shared" si="24"/>
        <v>53</v>
      </c>
      <c r="K66" s="23">
        <f t="shared" si="25"/>
        <v>0</v>
      </c>
      <c r="L66" s="24">
        <f t="shared" si="26"/>
        <v>34.730000000000004</v>
      </c>
      <c r="M66" s="24">
        <f t="shared" si="27"/>
        <v>34.730000000000004</v>
      </c>
      <c r="O66" s="24">
        <f t="shared" si="28"/>
        <v>0</v>
      </c>
      <c r="P66" s="24">
        <f t="shared" si="29"/>
        <v>0</v>
      </c>
      <c r="Q66" s="24">
        <f t="shared" si="30"/>
        <v>0</v>
      </c>
      <c r="R66" s="24">
        <f t="shared" si="31"/>
        <v>0</v>
      </c>
      <c r="S66" s="24">
        <f t="shared" si="32"/>
        <v>0</v>
      </c>
      <c r="T66" s="24">
        <f t="shared" si="33"/>
        <v>0</v>
      </c>
      <c r="V66" s="24"/>
      <c r="W66" s="24"/>
      <c r="X66" s="24"/>
      <c r="Y66" s="24"/>
      <c r="Z66" s="24"/>
      <c r="AA66" s="24"/>
    </row>
    <row r="67" spans="1:27" ht="33" customHeight="1" x14ac:dyDescent="0.2">
      <c r="A67" s="21">
        <v>55</v>
      </c>
      <c r="B67" s="25">
        <v>86</v>
      </c>
      <c r="C67" s="40">
        <f t="shared" si="17"/>
        <v>0</v>
      </c>
      <c r="D67" s="40">
        <f t="shared" si="18"/>
        <v>0</v>
      </c>
      <c r="E67" s="40">
        <f t="shared" si="19"/>
        <v>0</v>
      </c>
      <c r="F67" s="40">
        <f t="shared" si="20"/>
        <v>0</v>
      </c>
      <c r="G67" s="40">
        <f t="shared" si="21"/>
        <v>0</v>
      </c>
      <c r="H67" s="40">
        <f t="shared" si="22"/>
        <v>0</v>
      </c>
      <c r="I67" s="23">
        <f t="shared" si="23"/>
        <v>0</v>
      </c>
      <c r="J67" s="23">
        <f t="shared" si="24"/>
        <v>86</v>
      </c>
      <c r="K67" s="23">
        <f t="shared" si="25"/>
        <v>0</v>
      </c>
      <c r="L67" s="24">
        <f t="shared" si="26"/>
        <v>1.730000000000004</v>
      </c>
      <c r="M67" s="24">
        <f t="shared" si="27"/>
        <v>1.730000000000004</v>
      </c>
      <c r="O67" s="24">
        <f t="shared" si="28"/>
        <v>0</v>
      </c>
      <c r="P67" s="24">
        <f t="shared" si="29"/>
        <v>0</v>
      </c>
      <c r="Q67" s="24">
        <f t="shared" si="30"/>
        <v>0</v>
      </c>
      <c r="R67" s="24">
        <f t="shared" si="31"/>
        <v>0</v>
      </c>
      <c r="S67" s="24">
        <f t="shared" si="32"/>
        <v>0</v>
      </c>
      <c r="T67" s="24">
        <f t="shared" si="33"/>
        <v>0</v>
      </c>
      <c r="V67" s="24"/>
      <c r="W67" s="24"/>
      <c r="X67" s="24"/>
      <c r="Y67" s="24"/>
      <c r="Z67" s="24"/>
      <c r="AA67" s="24"/>
    </row>
    <row r="68" spans="1:27" ht="33" customHeight="1" x14ac:dyDescent="0.2">
      <c r="A68" s="21">
        <v>56</v>
      </c>
      <c r="B68" s="25">
        <v>83</v>
      </c>
      <c r="C68" s="40">
        <f t="shared" si="17"/>
        <v>0</v>
      </c>
      <c r="D68" s="40">
        <f t="shared" si="18"/>
        <v>0</v>
      </c>
      <c r="E68" s="40">
        <f t="shared" si="19"/>
        <v>0</v>
      </c>
      <c r="F68" s="40">
        <f t="shared" si="20"/>
        <v>0</v>
      </c>
      <c r="G68" s="40">
        <f t="shared" si="21"/>
        <v>0</v>
      </c>
      <c r="H68" s="40">
        <f t="shared" si="22"/>
        <v>0</v>
      </c>
      <c r="I68" s="23">
        <f t="shared" si="23"/>
        <v>0</v>
      </c>
      <c r="J68" s="23">
        <f t="shared" si="24"/>
        <v>83</v>
      </c>
      <c r="K68" s="23">
        <f t="shared" si="25"/>
        <v>0</v>
      </c>
      <c r="L68" s="24">
        <f t="shared" si="26"/>
        <v>4.730000000000004</v>
      </c>
      <c r="M68" s="24">
        <f t="shared" si="27"/>
        <v>4.730000000000004</v>
      </c>
      <c r="O68" s="24">
        <f t="shared" si="28"/>
        <v>0</v>
      </c>
      <c r="P68" s="24">
        <f t="shared" si="29"/>
        <v>0</v>
      </c>
      <c r="Q68" s="24">
        <f t="shared" si="30"/>
        <v>0</v>
      </c>
      <c r="R68" s="24">
        <f t="shared" si="31"/>
        <v>0</v>
      </c>
      <c r="S68" s="24">
        <f t="shared" si="32"/>
        <v>0</v>
      </c>
      <c r="T68" s="24">
        <f t="shared" si="33"/>
        <v>0</v>
      </c>
      <c r="V68" s="24"/>
      <c r="W68" s="24"/>
      <c r="X68" s="24"/>
      <c r="Y68" s="24"/>
      <c r="Z68" s="24"/>
      <c r="AA68" s="24"/>
    </row>
    <row r="69" spans="1:27" ht="33" customHeight="1" x14ac:dyDescent="0.2">
      <c r="A69" s="21">
        <v>57</v>
      </c>
      <c r="B69" s="25">
        <v>69</v>
      </c>
      <c r="C69" s="40">
        <f t="shared" si="17"/>
        <v>0</v>
      </c>
      <c r="D69" s="40">
        <f t="shared" si="18"/>
        <v>0</v>
      </c>
      <c r="E69" s="40">
        <f t="shared" si="19"/>
        <v>0</v>
      </c>
      <c r="F69" s="40">
        <f t="shared" si="20"/>
        <v>0</v>
      </c>
      <c r="G69" s="40">
        <f t="shared" si="21"/>
        <v>0</v>
      </c>
      <c r="H69" s="40">
        <f t="shared" si="22"/>
        <v>0</v>
      </c>
      <c r="I69" s="23">
        <f t="shared" si="23"/>
        <v>0</v>
      </c>
      <c r="J69" s="23">
        <f t="shared" si="24"/>
        <v>69</v>
      </c>
      <c r="K69" s="23">
        <f t="shared" si="25"/>
        <v>0</v>
      </c>
      <c r="L69" s="24">
        <f t="shared" si="26"/>
        <v>18.730000000000004</v>
      </c>
      <c r="M69" s="24">
        <f t="shared" si="27"/>
        <v>18.730000000000004</v>
      </c>
      <c r="O69" s="24">
        <f t="shared" si="28"/>
        <v>0</v>
      </c>
      <c r="P69" s="24">
        <f t="shared" si="29"/>
        <v>0</v>
      </c>
      <c r="Q69" s="24">
        <f t="shared" si="30"/>
        <v>0</v>
      </c>
      <c r="R69" s="24">
        <f t="shared" si="31"/>
        <v>0</v>
      </c>
      <c r="S69" s="24">
        <f t="shared" si="32"/>
        <v>0</v>
      </c>
      <c r="T69" s="24">
        <f t="shared" si="33"/>
        <v>0</v>
      </c>
      <c r="V69" s="24"/>
      <c r="W69" s="24"/>
      <c r="X69" s="24"/>
      <c r="Y69" s="24"/>
      <c r="Z69" s="24"/>
      <c r="AA69" s="24"/>
    </row>
    <row r="70" spans="1:27" ht="33" customHeight="1" x14ac:dyDescent="0.2">
      <c r="A70" s="21">
        <v>58</v>
      </c>
      <c r="B70" s="25">
        <v>108</v>
      </c>
      <c r="C70" s="40">
        <f t="shared" si="17"/>
        <v>0</v>
      </c>
      <c r="D70" s="40">
        <f t="shared" si="18"/>
        <v>0</v>
      </c>
      <c r="E70" s="40">
        <f t="shared" si="19"/>
        <v>0</v>
      </c>
      <c r="F70" s="40">
        <f t="shared" si="20"/>
        <v>0</v>
      </c>
      <c r="G70" s="40">
        <f t="shared" si="21"/>
        <v>0</v>
      </c>
      <c r="H70" s="40">
        <f t="shared" si="22"/>
        <v>0</v>
      </c>
      <c r="I70" s="23">
        <f t="shared" si="23"/>
        <v>0</v>
      </c>
      <c r="J70" s="23">
        <f t="shared" si="24"/>
        <v>108</v>
      </c>
      <c r="K70" s="23">
        <f t="shared" si="25"/>
        <v>0</v>
      </c>
      <c r="L70" s="24">
        <f t="shared" si="26"/>
        <v>20.269999999999996</v>
      </c>
      <c r="M70" s="24">
        <f t="shared" si="27"/>
        <v>20.269999999999996</v>
      </c>
      <c r="O70" s="24">
        <f t="shared" si="28"/>
        <v>0</v>
      </c>
      <c r="P70" s="24">
        <f t="shared" si="29"/>
        <v>0</v>
      </c>
      <c r="Q70" s="24">
        <f t="shared" si="30"/>
        <v>0</v>
      </c>
      <c r="R70" s="24">
        <f t="shared" si="31"/>
        <v>0</v>
      </c>
      <c r="S70" s="24">
        <f t="shared" si="32"/>
        <v>0</v>
      </c>
      <c r="T70" s="24">
        <f t="shared" si="33"/>
        <v>0</v>
      </c>
      <c r="V70" s="24"/>
      <c r="W70" s="24"/>
      <c r="X70" s="24"/>
      <c r="Y70" s="24"/>
      <c r="Z70" s="24"/>
      <c r="AA70" s="24"/>
    </row>
    <row r="71" spans="1:27" ht="33" customHeight="1" x14ac:dyDescent="0.2">
      <c r="A71" s="21">
        <v>59</v>
      </c>
      <c r="B71" s="25">
        <v>34</v>
      </c>
      <c r="C71" s="40">
        <f t="shared" si="17"/>
        <v>0</v>
      </c>
      <c r="D71" s="40">
        <f t="shared" si="18"/>
        <v>0</v>
      </c>
      <c r="E71" s="40">
        <f t="shared" si="19"/>
        <v>0</v>
      </c>
      <c r="F71" s="40">
        <f t="shared" si="20"/>
        <v>0</v>
      </c>
      <c r="G71" s="40">
        <f t="shared" si="21"/>
        <v>0</v>
      </c>
      <c r="H71" s="40">
        <f t="shared" si="22"/>
        <v>0</v>
      </c>
      <c r="I71" s="23">
        <f t="shared" si="23"/>
        <v>0</v>
      </c>
      <c r="J71" s="23">
        <f t="shared" si="24"/>
        <v>34</v>
      </c>
      <c r="K71" s="23">
        <f t="shared" si="25"/>
        <v>0</v>
      </c>
      <c r="L71" s="24">
        <f t="shared" si="26"/>
        <v>53.730000000000004</v>
      </c>
      <c r="M71" s="24">
        <f t="shared" si="27"/>
        <v>53.730000000000004</v>
      </c>
      <c r="O71" s="24">
        <f t="shared" si="28"/>
        <v>0</v>
      </c>
      <c r="P71" s="24">
        <f t="shared" si="29"/>
        <v>0</v>
      </c>
      <c r="Q71" s="24">
        <f t="shared" si="30"/>
        <v>0</v>
      </c>
      <c r="R71" s="24">
        <f t="shared" si="31"/>
        <v>0</v>
      </c>
      <c r="S71" s="24">
        <f t="shared" si="32"/>
        <v>0</v>
      </c>
      <c r="T71" s="24">
        <f t="shared" si="33"/>
        <v>0</v>
      </c>
      <c r="V71" s="24"/>
      <c r="W71" s="24"/>
      <c r="X71" s="24"/>
      <c r="Y71" s="24"/>
      <c r="Z71" s="24"/>
      <c r="AA71" s="24"/>
    </row>
    <row r="72" spans="1:27" ht="33" customHeight="1" x14ac:dyDescent="0.2">
      <c r="A72" s="21">
        <v>60</v>
      </c>
      <c r="B72" s="25">
        <v>53</v>
      </c>
      <c r="C72" s="40">
        <f t="shared" si="17"/>
        <v>0</v>
      </c>
      <c r="D72" s="40">
        <f t="shared" si="18"/>
        <v>0</v>
      </c>
      <c r="E72" s="40">
        <f t="shared" si="19"/>
        <v>0</v>
      </c>
      <c r="F72" s="40">
        <f t="shared" si="20"/>
        <v>0</v>
      </c>
      <c r="G72" s="40">
        <f t="shared" si="21"/>
        <v>0</v>
      </c>
      <c r="H72" s="40">
        <f t="shared" si="22"/>
        <v>0</v>
      </c>
      <c r="I72" s="23">
        <f t="shared" si="23"/>
        <v>0</v>
      </c>
      <c r="J72" s="23">
        <f t="shared" si="24"/>
        <v>53</v>
      </c>
      <c r="K72" s="23">
        <f t="shared" si="25"/>
        <v>0</v>
      </c>
      <c r="L72" s="24">
        <f t="shared" si="26"/>
        <v>34.730000000000004</v>
      </c>
      <c r="M72" s="24">
        <f t="shared" si="27"/>
        <v>34.730000000000004</v>
      </c>
      <c r="O72" s="24">
        <f t="shared" si="28"/>
        <v>0</v>
      </c>
      <c r="P72" s="24">
        <f t="shared" si="29"/>
        <v>0</v>
      </c>
      <c r="Q72" s="24">
        <f t="shared" si="30"/>
        <v>0</v>
      </c>
      <c r="R72" s="24">
        <f t="shared" si="31"/>
        <v>0</v>
      </c>
      <c r="S72" s="24">
        <f t="shared" si="32"/>
        <v>0</v>
      </c>
      <c r="T72" s="24">
        <f t="shared" si="33"/>
        <v>0</v>
      </c>
      <c r="V72" s="24"/>
      <c r="W72" s="24"/>
      <c r="X72" s="24"/>
      <c r="Y72" s="24"/>
      <c r="Z72" s="24"/>
      <c r="AA72" s="24"/>
    </row>
    <row r="73" spans="1:27" ht="33" customHeight="1" x14ac:dyDescent="0.2">
      <c r="A73" s="21">
        <v>61</v>
      </c>
      <c r="B73" s="25">
        <v>127</v>
      </c>
      <c r="C73" s="40">
        <f t="shared" si="17"/>
        <v>0</v>
      </c>
      <c r="D73" s="40">
        <f t="shared" si="18"/>
        <v>0</v>
      </c>
      <c r="E73" s="40">
        <f t="shared" si="19"/>
        <v>0</v>
      </c>
      <c r="F73" s="40">
        <f t="shared" si="20"/>
        <v>0</v>
      </c>
      <c r="G73" s="40">
        <f t="shared" si="21"/>
        <v>0</v>
      </c>
      <c r="H73" s="40">
        <f t="shared" si="22"/>
        <v>0</v>
      </c>
      <c r="I73" s="23">
        <f t="shared" si="23"/>
        <v>0</v>
      </c>
      <c r="J73" s="23">
        <f t="shared" si="24"/>
        <v>127</v>
      </c>
      <c r="K73" s="23">
        <f t="shared" si="25"/>
        <v>0</v>
      </c>
      <c r="L73" s="24">
        <f t="shared" si="26"/>
        <v>39.269999999999996</v>
      </c>
      <c r="M73" s="24">
        <f t="shared" si="27"/>
        <v>39.269999999999996</v>
      </c>
      <c r="O73" s="24">
        <f t="shared" si="28"/>
        <v>0</v>
      </c>
      <c r="P73" s="24">
        <f t="shared" si="29"/>
        <v>0</v>
      </c>
      <c r="Q73" s="24">
        <f t="shared" si="30"/>
        <v>0</v>
      </c>
      <c r="R73" s="24">
        <f t="shared" si="31"/>
        <v>0</v>
      </c>
      <c r="S73" s="24">
        <f t="shared" si="32"/>
        <v>0</v>
      </c>
      <c r="T73" s="24">
        <f t="shared" si="33"/>
        <v>0</v>
      </c>
      <c r="V73" s="24"/>
      <c r="W73" s="24"/>
      <c r="X73" s="24"/>
      <c r="Y73" s="24"/>
      <c r="Z73" s="24"/>
      <c r="AA73" s="24"/>
    </row>
    <row r="74" spans="1:27" ht="33" customHeight="1" x14ac:dyDescent="0.2">
      <c r="A74" s="21">
        <v>62</v>
      </c>
      <c r="B74" s="25">
        <v>94</v>
      </c>
      <c r="C74" s="40">
        <f t="shared" si="17"/>
        <v>0</v>
      </c>
      <c r="D74" s="40">
        <f t="shared" si="18"/>
        <v>0</v>
      </c>
      <c r="E74" s="40">
        <f t="shared" si="19"/>
        <v>0</v>
      </c>
      <c r="F74" s="40">
        <f t="shared" si="20"/>
        <v>0</v>
      </c>
      <c r="G74" s="40">
        <f t="shared" si="21"/>
        <v>0</v>
      </c>
      <c r="H74" s="40">
        <f t="shared" si="22"/>
        <v>0</v>
      </c>
      <c r="I74" s="23">
        <f t="shared" si="23"/>
        <v>0</v>
      </c>
      <c r="J74" s="23">
        <f t="shared" si="24"/>
        <v>94</v>
      </c>
      <c r="K74" s="23">
        <f t="shared" si="25"/>
        <v>0</v>
      </c>
      <c r="L74" s="24">
        <f t="shared" si="26"/>
        <v>6.269999999999996</v>
      </c>
      <c r="M74" s="24">
        <f t="shared" si="27"/>
        <v>6.269999999999996</v>
      </c>
      <c r="O74" s="24">
        <f t="shared" si="28"/>
        <v>0</v>
      </c>
      <c r="P74" s="24">
        <f t="shared" si="29"/>
        <v>0</v>
      </c>
      <c r="Q74" s="24">
        <f t="shared" si="30"/>
        <v>0</v>
      </c>
      <c r="R74" s="24">
        <f t="shared" si="31"/>
        <v>0</v>
      </c>
      <c r="S74" s="24">
        <f t="shared" si="32"/>
        <v>0</v>
      </c>
      <c r="T74" s="24">
        <f t="shared" si="33"/>
        <v>0</v>
      </c>
      <c r="V74" s="24"/>
      <c r="W74" s="24"/>
      <c r="X74" s="24"/>
      <c r="Y74" s="24"/>
      <c r="Z74" s="24"/>
      <c r="AA74" s="24"/>
    </row>
    <row r="75" spans="1:27" ht="33" customHeight="1" x14ac:dyDescent="0.2">
      <c r="A75" s="21">
        <v>63</v>
      </c>
      <c r="B75" s="25">
        <v>57</v>
      </c>
      <c r="C75" s="40">
        <f t="shared" si="17"/>
        <v>0</v>
      </c>
      <c r="D75" s="40">
        <f t="shared" si="18"/>
        <v>0</v>
      </c>
      <c r="E75" s="40">
        <f t="shared" si="19"/>
        <v>0</v>
      </c>
      <c r="F75" s="40">
        <f t="shared" si="20"/>
        <v>0</v>
      </c>
      <c r="G75" s="40">
        <f t="shared" si="21"/>
        <v>0</v>
      </c>
      <c r="H75" s="40">
        <f t="shared" si="22"/>
        <v>0</v>
      </c>
      <c r="I75" s="23">
        <f t="shared" si="23"/>
        <v>0</v>
      </c>
      <c r="J75" s="23">
        <f t="shared" si="24"/>
        <v>57</v>
      </c>
      <c r="K75" s="23">
        <f t="shared" si="25"/>
        <v>0</v>
      </c>
      <c r="L75" s="24">
        <f t="shared" si="26"/>
        <v>30.730000000000004</v>
      </c>
      <c r="M75" s="24">
        <f t="shared" si="27"/>
        <v>30.730000000000004</v>
      </c>
      <c r="O75" s="24">
        <f t="shared" si="28"/>
        <v>0</v>
      </c>
      <c r="P75" s="24">
        <f t="shared" si="29"/>
        <v>0</v>
      </c>
      <c r="Q75" s="24">
        <f t="shared" si="30"/>
        <v>0</v>
      </c>
      <c r="R75" s="24">
        <f t="shared" si="31"/>
        <v>0</v>
      </c>
      <c r="S75" s="24">
        <f t="shared" si="32"/>
        <v>0</v>
      </c>
      <c r="T75" s="24">
        <f t="shared" si="33"/>
        <v>0</v>
      </c>
      <c r="V75" s="24"/>
      <c r="W75" s="24"/>
      <c r="X75" s="24"/>
      <c r="Y75" s="24"/>
      <c r="Z75" s="24"/>
      <c r="AA75" s="24"/>
    </row>
    <row r="76" spans="1:27" ht="33" customHeight="1" x14ac:dyDescent="0.2">
      <c r="A76" s="21">
        <v>64</v>
      </c>
      <c r="B76" s="25">
        <v>41</v>
      </c>
      <c r="C76" s="40">
        <f t="shared" si="17"/>
        <v>0</v>
      </c>
      <c r="D76" s="40">
        <f t="shared" si="18"/>
        <v>0</v>
      </c>
      <c r="E76" s="40">
        <f t="shared" si="19"/>
        <v>0</v>
      </c>
      <c r="F76" s="40">
        <f t="shared" si="20"/>
        <v>0</v>
      </c>
      <c r="G76" s="40">
        <f t="shared" si="21"/>
        <v>0</v>
      </c>
      <c r="H76" s="40">
        <f t="shared" si="22"/>
        <v>0</v>
      </c>
      <c r="I76" s="23">
        <f t="shared" si="23"/>
        <v>0</v>
      </c>
      <c r="J76" s="23">
        <f t="shared" si="24"/>
        <v>41</v>
      </c>
      <c r="K76" s="23">
        <f t="shared" si="25"/>
        <v>0</v>
      </c>
      <c r="L76" s="24">
        <f t="shared" si="26"/>
        <v>46.730000000000004</v>
      </c>
      <c r="M76" s="24">
        <f t="shared" si="27"/>
        <v>46.730000000000004</v>
      </c>
      <c r="O76" s="24">
        <f t="shared" si="28"/>
        <v>0</v>
      </c>
      <c r="P76" s="24">
        <f t="shared" si="29"/>
        <v>0</v>
      </c>
      <c r="Q76" s="24">
        <f t="shared" si="30"/>
        <v>0</v>
      </c>
      <c r="R76" s="24">
        <f t="shared" si="31"/>
        <v>0</v>
      </c>
      <c r="S76" s="24">
        <f t="shared" si="32"/>
        <v>0</v>
      </c>
      <c r="T76" s="24">
        <f t="shared" si="33"/>
        <v>0</v>
      </c>
      <c r="V76" s="24"/>
      <c r="W76" s="24"/>
      <c r="X76" s="24"/>
      <c r="Y76" s="24"/>
      <c r="Z76" s="24"/>
      <c r="AA76" s="24"/>
    </row>
    <row r="77" spans="1:27" ht="33" customHeight="1" x14ac:dyDescent="0.2">
      <c r="A77" s="21">
        <v>65</v>
      </c>
      <c r="B77" s="25">
        <v>45</v>
      </c>
      <c r="C77" s="40">
        <f t="shared" ref="C77:C112" si="34">IF(SUM($V77:$AA77), ROUND(V77/SUM($V77:$AA77), 2),0)</f>
        <v>0</v>
      </c>
      <c r="D77" s="40">
        <f t="shared" ref="D77:D112" si="35">IF(SUM($V77:$AA77), ROUND(W77/SUM($V77:$AA77), 2),0)</f>
        <v>0</v>
      </c>
      <c r="E77" s="40">
        <f t="shared" ref="E77:E112" si="36">IF(SUM($V77:$AA77), ROUND(X77/SUM($V77:$AA77), 2),0)</f>
        <v>0</v>
      </c>
      <c r="F77" s="40">
        <f t="shared" ref="F77:F112" si="37">IF(SUM($V77:$AA77), ROUND(Y77/SUM($V77:$AA77), 2),0)</f>
        <v>0</v>
      </c>
      <c r="G77" s="40">
        <f t="shared" ref="G77:G112" si="38">IF(SUM($V77:$AA77), ROUND(Z77/SUM($V77:$AA77), 2),0)</f>
        <v>0</v>
      </c>
      <c r="H77" s="40">
        <f t="shared" ref="H77:H112" si="39">IF(SUM($V77:$AA77), ROUND(AA77/SUM($V77:$AA77), 2),0)</f>
        <v>0</v>
      </c>
      <c r="I77" s="23">
        <f t="shared" ref="I77:I108" si="40">SUM(C77:H77)</f>
        <v>0</v>
      </c>
      <c r="J77" s="23">
        <f t="shared" ref="J77:J108" si="41">IF(I77&gt;0,0,B77)</f>
        <v>45</v>
      </c>
      <c r="K77" s="23">
        <f t="shared" ref="K77:K112" si="42">IF(I77&gt;0,B77,0)</f>
        <v>0</v>
      </c>
      <c r="L77" s="24">
        <f t="shared" ref="L77:L112" si="43">IF(B77&gt;0,(ABS(B77-$J$115)),0)</f>
        <v>42.730000000000004</v>
      </c>
      <c r="M77" s="24">
        <f t="shared" ref="M77:M108" si="44">IF(I77&gt;0,0,L77)</f>
        <v>42.730000000000004</v>
      </c>
      <c r="O77" s="24">
        <f t="shared" ref="O77:O112" si="45">C77*$L77</f>
        <v>0</v>
      </c>
      <c r="P77" s="24">
        <f t="shared" ref="P77:P112" si="46">D77*$L77</f>
        <v>0</v>
      </c>
      <c r="Q77" s="24">
        <f t="shared" ref="Q77:Q112" si="47">E77*$L77</f>
        <v>0</v>
      </c>
      <c r="R77" s="24">
        <f t="shared" ref="R77:R112" si="48">F77*$L77</f>
        <v>0</v>
      </c>
      <c r="S77" s="24">
        <f t="shared" ref="S77:S112" si="49">G77*$L77</f>
        <v>0</v>
      </c>
      <c r="T77" s="24">
        <f t="shared" ref="T77:T112" si="50">H77*$L77</f>
        <v>0</v>
      </c>
      <c r="V77" s="24"/>
      <c r="W77" s="24"/>
      <c r="X77" s="24"/>
      <c r="Y77" s="24"/>
      <c r="Z77" s="24"/>
      <c r="AA77" s="24"/>
    </row>
    <row r="78" spans="1:27" ht="33" customHeight="1" x14ac:dyDescent="0.2">
      <c r="A78" s="21">
        <v>66</v>
      </c>
      <c r="B78" s="25">
        <v>51</v>
      </c>
      <c r="C78" s="40">
        <f t="shared" si="34"/>
        <v>0</v>
      </c>
      <c r="D78" s="40">
        <f t="shared" si="35"/>
        <v>0</v>
      </c>
      <c r="E78" s="40">
        <f t="shared" si="36"/>
        <v>0</v>
      </c>
      <c r="F78" s="40">
        <f t="shared" si="37"/>
        <v>0</v>
      </c>
      <c r="G78" s="40">
        <f t="shared" si="38"/>
        <v>0</v>
      </c>
      <c r="H78" s="40">
        <f t="shared" si="39"/>
        <v>0</v>
      </c>
      <c r="I78" s="23">
        <f t="shared" si="40"/>
        <v>0</v>
      </c>
      <c r="J78" s="23">
        <f t="shared" si="41"/>
        <v>51</v>
      </c>
      <c r="K78" s="23">
        <f t="shared" si="42"/>
        <v>0</v>
      </c>
      <c r="L78" s="24">
        <f t="shared" si="43"/>
        <v>36.730000000000004</v>
      </c>
      <c r="M78" s="24">
        <f t="shared" si="44"/>
        <v>36.730000000000004</v>
      </c>
      <c r="O78" s="24">
        <f t="shared" si="45"/>
        <v>0</v>
      </c>
      <c r="P78" s="24">
        <f t="shared" si="46"/>
        <v>0</v>
      </c>
      <c r="Q78" s="24">
        <f t="shared" si="47"/>
        <v>0</v>
      </c>
      <c r="R78" s="24">
        <f t="shared" si="48"/>
        <v>0</v>
      </c>
      <c r="S78" s="24">
        <f t="shared" si="49"/>
        <v>0</v>
      </c>
      <c r="T78" s="24">
        <f t="shared" si="50"/>
        <v>0</v>
      </c>
      <c r="V78" s="24"/>
      <c r="W78" s="24"/>
      <c r="X78" s="24"/>
      <c r="Y78" s="24"/>
      <c r="Z78" s="24"/>
      <c r="AA78" s="24"/>
    </row>
    <row r="79" spans="1:27" ht="33" customHeight="1" x14ac:dyDescent="0.2">
      <c r="A79" s="21">
        <v>67</v>
      </c>
      <c r="B79" s="25">
        <v>76</v>
      </c>
      <c r="C79" s="40">
        <f t="shared" si="34"/>
        <v>0</v>
      </c>
      <c r="D79" s="40">
        <f t="shared" si="35"/>
        <v>0</v>
      </c>
      <c r="E79" s="40">
        <f t="shared" si="36"/>
        <v>0</v>
      </c>
      <c r="F79" s="40">
        <f t="shared" si="37"/>
        <v>0</v>
      </c>
      <c r="G79" s="40">
        <f t="shared" si="38"/>
        <v>0</v>
      </c>
      <c r="H79" s="40">
        <f t="shared" si="39"/>
        <v>0</v>
      </c>
      <c r="I79" s="23">
        <f t="shared" si="40"/>
        <v>0</v>
      </c>
      <c r="J79" s="23">
        <f t="shared" si="41"/>
        <v>76</v>
      </c>
      <c r="K79" s="23">
        <f t="shared" si="42"/>
        <v>0</v>
      </c>
      <c r="L79" s="24">
        <f t="shared" si="43"/>
        <v>11.730000000000004</v>
      </c>
      <c r="M79" s="24">
        <f t="shared" si="44"/>
        <v>11.730000000000004</v>
      </c>
      <c r="O79" s="24">
        <f t="shared" si="45"/>
        <v>0</v>
      </c>
      <c r="P79" s="24">
        <f t="shared" si="46"/>
        <v>0</v>
      </c>
      <c r="Q79" s="24">
        <f t="shared" si="47"/>
        <v>0</v>
      </c>
      <c r="R79" s="24">
        <f t="shared" si="48"/>
        <v>0</v>
      </c>
      <c r="S79" s="24">
        <f t="shared" si="49"/>
        <v>0</v>
      </c>
      <c r="T79" s="24">
        <f t="shared" si="50"/>
        <v>0</v>
      </c>
      <c r="V79" s="24"/>
      <c r="W79" s="24"/>
      <c r="X79" s="24"/>
      <c r="Y79" s="24"/>
      <c r="Z79" s="24"/>
      <c r="AA79" s="24"/>
    </row>
    <row r="80" spans="1:27" ht="33" customHeight="1" x14ac:dyDescent="0.2">
      <c r="A80" s="21">
        <v>68</v>
      </c>
      <c r="B80" s="25">
        <v>63</v>
      </c>
      <c r="C80" s="40">
        <f t="shared" si="34"/>
        <v>0</v>
      </c>
      <c r="D80" s="40">
        <f t="shared" si="35"/>
        <v>0</v>
      </c>
      <c r="E80" s="40">
        <f t="shared" si="36"/>
        <v>0</v>
      </c>
      <c r="F80" s="40">
        <f t="shared" si="37"/>
        <v>0</v>
      </c>
      <c r="G80" s="40">
        <f t="shared" si="38"/>
        <v>0</v>
      </c>
      <c r="H80" s="40">
        <f t="shared" si="39"/>
        <v>0</v>
      </c>
      <c r="I80" s="23">
        <f t="shared" si="40"/>
        <v>0</v>
      </c>
      <c r="J80" s="23">
        <f t="shared" si="41"/>
        <v>63</v>
      </c>
      <c r="K80" s="23">
        <f t="shared" si="42"/>
        <v>0</v>
      </c>
      <c r="L80" s="24">
        <f t="shared" si="43"/>
        <v>24.730000000000004</v>
      </c>
      <c r="M80" s="24">
        <f t="shared" si="44"/>
        <v>24.730000000000004</v>
      </c>
      <c r="O80" s="24">
        <f t="shared" si="45"/>
        <v>0</v>
      </c>
      <c r="P80" s="24">
        <f t="shared" si="46"/>
        <v>0</v>
      </c>
      <c r="Q80" s="24">
        <f t="shared" si="47"/>
        <v>0</v>
      </c>
      <c r="R80" s="24">
        <f t="shared" si="48"/>
        <v>0</v>
      </c>
      <c r="S80" s="24">
        <f t="shared" si="49"/>
        <v>0</v>
      </c>
      <c r="T80" s="24">
        <f t="shared" si="50"/>
        <v>0</v>
      </c>
      <c r="V80" s="24"/>
      <c r="W80" s="24"/>
      <c r="X80" s="24"/>
      <c r="Y80" s="24"/>
      <c r="Z80" s="24"/>
      <c r="AA80" s="24"/>
    </row>
    <row r="81" spans="1:27" ht="33" customHeight="1" x14ac:dyDescent="0.2">
      <c r="A81" s="21">
        <v>69</v>
      </c>
      <c r="B81" s="25">
        <v>122</v>
      </c>
      <c r="C81" s="40">
        <f t="shared" si="34"/>
        <v>0</v>
      </c>
      <c r="D81" s="40">
        <f t="shared" si="35"/>
        <v>0</v>
      </c>
      <c r="E81" s="40">
        <f t="shared" si="36"/>
        <v>0</v>
      </c>
      <c r="F81" s="40">
        <f t="shared" si="37"/>
        <v>0</v>
      </c>
      <c r="G81" s="40">
        <f t="shared" si="38"/>
        <v>0</v>
      </c>
      <c r="H81" s="40">
        <f t="shared" si="39"/>
        <v>0</v>
      </c>
      <c r="I81" s="23">
        <f t="shared" si="40"/>
        <v>0</v>
      </c>
      <c r="J81" s="23">
        <f t="shared" si="41"/>
        <v>122</v>
      </c>
      <c r="K81" s="23">
        <f t="shared" si="42"/>
        <v>0</v>
      </c>
      <c r="L81" s="24">
        <f t="shared" si="43"/>
        <v>34.269999999999996</v>
      </c>
      <c r="M81" s="24">
        <f t="shared" si="44"/>
        <v>34.269999999999996</v>
      </c>
      <c r="O81" s="24">
        <f t="shared" si="45"/>
        <v>0</v>
      </c>
      <c r="P81" s="24">
        <f t="shared" si="46"/>
        <v>0</v>
      </c>
      <c r="Q81" s="24">
        <f t="shared" si="47"/>
        <v>0</v>
      </c>
      <c r="R81" s="24">
        <f t="shared" si="48"/>
        <v>0</v>
      </c>
      <c r="S81" s="24">
        <f t="shared" si="49"/>
        <v>0</v>
      </c>
      <c r="T81" s="24">
        <f t="shared" si="50"/>
        <v>0</v>
      </c>
      <c r="V81" s="24"/>
      <c r="W81" s="24"/>
      <c r="X81" s="24"/>
      <c r="Y81" s="24"/>
      <c r="Z81" s="24"/>
      <c r="AA81" s="24"/>
    </row>
    <row r="82" spans="1:27" ht="33" customHeight="1" x14ac:dyDescent="0.2">
      <c r="A82" s="21">
        <v>70</v>
      </c>
      <c r="B82" s="25">
        <v>111</v>
      </c>
      <c r="C82" s="40">
        <f t="shared" si="34"/>
        <v>0</v>
      </c>
      <c r="D82" s="40">
        <f t="shared" si="35"/>
        <v>0</v>
      </c>
      <c r="E82" s="40">
        <f t="shared" si="36"/>
        <v>0</v>
      </c>
      <c r="F82" s="40">
        <f t="shared" si="37"/>
        <v>0</v>
      </c>
      <c r="G82" s="40">
        <f t="shared" si="38"/>
        <v>0</v>
      </c>
      <c r="H82" s="40">
        <f t="shared" si="39"/>
        <v>0</v>
      </c>
      <c r="I82" s="23">
        <f t="shared" si="40"/>
        <v>0</v>
      </c>
      <c r="J82" s="23">
        <f t="shared" si="41"/>
        <v>111</v>
      </c>
      <c r="K82" s="23">
        <f t="shared" si="42"/>
        <v>0</v>
      </c>
      <c r="L82" s="24">
        <f t="shared" si="43"/>
        <v>23.269999999999996</v>
      </c>
      <c r="M82" s="24">
        <f t="shared" si="44"/>
        <v>23.269999999999996</v>
      </c>
      <c r="O82" s="24">
        <f t="shared" si="45"/>
        <v>0</v>
      </c>
      <c r="P82" s="24">
        <f t="shared" si="46"/>
        <v>0</v>
      </c>
      <c r="Q82" s="24">
        <f t="shared" si="47"/>
        <v>0</v>
      </c>
      <c r="R82" s="24">
        <f t="shared" si="48"/>
        <v>0</v>
      </c>
      <c r="S82" s="24">
        <f t="shared" si="49"/>
        <v>0</v>
      </c>
      <c r="T82" s="24">
        <f t="shared" si="50"/>
        <v>0</v>
      </c>
      <c r="V82" s="24"/>
      <c r="W82" s="24"/>
      <c r="X82" s="24"/>
      <c r="Y82" s="24"/>
      <c r="Z82" s="24"/>
      <c r="AA82" s="24"/>
    </row>
    <row r="83" spans="1:27" ht="33" customHeight="1" x14ac:dyDescent="0.2">
      <c r="A83" s="21">
        <v>71</v>
      </c>
      <c r="B83" s="25">
        <v>81</v>
      </c>
      <c r="C83" s="40">
        <f t="shared" si="34"/>
        <v>0</v>
      </c>
      <c r="D83" s="40">
        <f t="shared" si="35"/>
        <v>0</v>
      </c>
      <c r="E83" s="40">
        <f t="shared" si="36"/>
        <v>0</v>
      </c>
      <c r="F83" s="40">
        <f t="shared" si="37"/>
        <v>0</v>
      </c>
      <c r="G83" s="40">
        <f t="shared" si="38"/>
        <v>0</v>
      </c>
      <c r="H83" s="40">
        <f t="shared" si="39"/>
        <v>0</v>
      </c>
      <c r="I83" s="23">
        <f t="shared" si="40"/>
        <v>0</v>
      </c>
      <c r="J83" s="23">
        <f t="shared" si="41"/>
        <v>81</v>
      </c>
      <c r="K83" s="23">
        <f t="shared" si="42"/>
        <v>0</v>
      </c>
      <c r="L83" s="24">
        <f t="shared" si="43"/>
        <v>6.730000000000004</v>
      </c>
      <c r="M83" s="24">
        <f t="shared" si="44"/>
        <v>6.730000000000004</v>
      </c>
      <c r="O83" s="24">
        <f t="shared" si="45"/>
        <v>0</v>
      </c>
      <c r="P83" s="24">
        <f t="shared" si="46"/>
        <v>0</v>
      </c>
      <c r="Q83" s="24">
        <f t="shared" si="47"/>
        <v>0</v>
      </c>
      <c r="R83" s="24">
        <f t="shared" si="48"/>
        <v>0</v>
      </c>
      <c r="S83" s="24">
        <f t="shared" si="49"/>
        <v>0</v>
      </c>
      <c r="T83" s="24">
        <f t="shared" si="50"/>
        <v>0</v>
      </c>
      <c r="V83" s="24"/>
      <c r="W83" s="24"/>
      <c r="X83" s="24"/>
      <c r="Y83" s="24"/>
      <c r="Z83" s="24"/>
      <c r="AA83" s="24"/>
    </row>
    <row r="84" spans="1:27" ht="33" customHeight="1" x14ac:dyDescent="0.2">
      <c r="A84" s="21">
        <v>72</v>
      </c>
      <c r="B84" s="25">
        <v>67</v>
      </c>
      <c r="C84" s="40">
        <f t="shared" si="34"/>
        <v>0</v>
      </c>
      <c r="D84" s="40">
        <f t="shared" si="35"/>
        <v>0</v>
      </c>
      <c r="E84" s="40">
        <f t="shared" si="36"/>
        <v>0</v>
      </c>
      <c r="F84" s="40">
        <f t="shared" si="37"/>
        <v>0</v>
      </c>
      <c r="G84" s="40">
        <f t="shared" si="38"/>
        <v>0</v>
      </c>
      <c r="H84" s="40">
        <f t="shared" si="39"/>
        <v>0</v>
      </c>
      <c r="I84" s="23">
        <f t="shared" si="40"/>
        <v>0</v>
      </c>
      <c r="J84" s="23">
        <f t="shared" si="41"/>
        <v>67</v>
      </c>
      <c r="K84" s="23">
        <f t="shared" si="42"/>
        <v>0</v>
      </c>
      <c r="L84" s="24">
        <f t="shared" si="43"/>
        <v>20.730000000000004</v>
      </c>
      <c r="M84" s="24">
        <f t="shared" si="44"/>
        <v>20.730000000000004</v>
      </c>
      <c r="O84" s="24">
        <f t="shared" si="45"/>
        <v>0</v>
      </c>
      <c r="P84" s="24">
        <f t="shared" si="46"/>
        <v>0</v>
      </c>
      <c r="Q84" s="24">
        <f t="shared" si="47"/>
        <v>0</v>
      </c>
      <c r="R84" s="24">
        <f t="shared" si="48"/>
        <v>0</v>
      </c>
      <c r="S84" s="24">
        <f t="shared" si="49"/>
        <v>0</v>
      </c>
      <c r="T84" s="24">
        <f t="shared" si="50"/>
        <v>0</v>
      </c>
      <c r="V84" s="24"/>
      <c r="W84" s="24"/>
      <c r="X84" s="24"/>
      <c r="Y84" s="24"/>
      <c r="Z84" s="24"/>
      <c r="AA84" s="24"/>
    </row>
    <row r="85" spans="1:27" ht="33" customHeight="1" x14ac:dyDescent="0.2">
      <c r="A85" s="21">
        <v>73</v>
      </c>
      <c r="B85" s="25">
        <v>54</v>
      </c>
      <c r="C85" s="40">
        <f t="shared" si="34"/>
        <v>0</v>
      </c>
      <c r="D85" s="40">
        <f t="shared" si="35"/>
        <v>0</v>
      </c>
      <c r="E85" s="40">
        <f t="shared" si="36"/>
        <v>0</v>
      </c>
      <c r="F85" s="40">
        <f t="shared" si="37"/>
        <v>0</v>
      </c>
      <c r="G85" s="40">
        <f t="shared" si="38"/>
        <v>0</v>
      </c>
      <c r="H85" s="40">
        <f t="shared" si="39"/>
        <v>0</v>
      </c>
      <c r="I85" s="23">
        <f t="shared" si="40"/>
        <v>0</v>
      </c>
      <c r="J85" s="23">
        <f t="shared" si="41"/>
        <v>54</v>
      </c>
      <c r="K85" s="23">
        <f t="shared" si="42"/>
        <v>0</v>
      </c>
      <c r="L85" s="24">
        <f t="shared" si="43"/>
        <v>33.730000000000004</v>
      </c>
      <c r="M85" s="24">
        <f t="shared" si="44"/>
        <v>33.730000000000004</v>
      </c>
      <c r="O85" s="24">
        <f t="shared" si="45"/>
        <v>0</v>
      </c>
      <c r="P85" s="24">
        <f t="shared" si="46"/>
        <v>0</v>
      </c>
      <c r="Q85" s="24">
        <f t="shared" si="47"/>
        <v>0</v>
      </c>
      <c r="R85" s="24">
        <f t="shared" si="48"/>
        <v>0</v>
      </c>
      <c r="S85" s="24">
        <f t="shared" si="49"/>
        <v>0</v>
      </c>
      <c r="T85" s="24">
        <f t="shared" si="50"/>
        <v>0</v>
      </c>
      <c r="V85" s="24"/>
      <c r="W85" s="24"/>
      <c r="X85" s="24"/>
      <c r="Y85" s="24"/>
      <c r="Z85" s="24"/>
      <c r="AA85" s="24"/>
    </row>
    <row r="86" spans="1:27" ht="33" customHeight="1" x14ac:dyDescent="0.2">
      <c r="A86" s="21">
        <v>74</v>
      </c>
      <c r="B86" s="25">
        <v>60</v>
      </c>
      <c r="C86" s="40">
        <f t="shared" si="34"/>
        <v>0</v>
      </c>
      <c r="D86" s="40">
        <f t="shared" si="35"/>
        <v>0</v>
      </c>
      <c r="E86" s="40">
        <f t="shared" si="36"/>
        <v>0</v>
      </c>
      <c r="F86" s="40">
        <f t="shared" si="37"/>
        <v>0</v>
      </c>
      <c r="G86" s="40">
        <f t="shared" si="38"/>
        <v>0</v>
      </c>
      <c r="H86" s="40">
        <f t="shared" si="39"/>
        <v>0</v>
      </c>
      <c r="I86" s="23">
        <f t="shared" si="40"/>
        <v>0</v>
      </c>
      <c r="J86" s="23">
        <f t="shared" si="41"/>
        <v>60</v>
      </c>
      <c r="K86" s="23">
        <f t="shared" si="42"/>
        <v>0</v>
      </c>
      <c r="L86" s="24">
        <f t="shared" si="43"/>
        <v>27.730000000000004</v>
      </c>
      <c r="M86" s="24">
        <f t="shared" si="44"/>
        <v>27.730000000000004</v>
      </c>
      <c r="O86" s="24">
        <f t="shared" si="45"/>
        <v>0</v>
      </c>
      <c r="P86" s="24">
        <f t="shared" si="46"/>
        <v>0</v>
      </c>
      <c r="Q86" s="24">
        <f t="shared" si="47"/>
        <v>0</v>
      </c>
      <c r="R86" s="24">
        <f t="shared" si="48"/>
        <v>0</v>
      </c>
      <c r="S86" s="24">
        <f t="shared" si="49"/>
        <v>0</v>
      </c>
      <c r="T86" s="24">
        <f t="shared" si="50"/>
        <v>0</v>
      </c>
      <c r="V86" s="24"/>
      <c r="W86" s="24"/>
      <c r="X86" s="24"/>
      <c r="Y86" s="24"/>
      <c r="Z86" s="24"/>
      <c r="AA86" s="24"/>
    </row>
    <row r="87" spans="1:27" ht="33" customHeight="1" x14ac:dyDescent="0.2">
      <c r="A87" s="21">
        <v>75</v>
      </c>
      <c r="B87" s="25">
        <v>68</v>
      </c>
      <c r="C87" s="40">
        <f t="shared" si="34"/>
        <v>0</v>
      </c>
      <c r="D87" s="40">
        <f t="shared" si="35"/>
        <v>0</v>
      </c>
      <c r="E87" s="40">
        <f t="shared" si="36"/>
        <v>0</v>
      </c>
      <c r="F87" s="40">
        <f t="shared" si="37"/>
        <v>0</v>
      </c>
      <c r="G87" s="40">
        <f t="shared" si="38"/>
        <v>0</v>
      </c>
      <c r="H87" s="40">
        <f t="shared" si="39"/>
        <v>0</v>
      </c>
      <c r="I87" s="23">
        <f t="shared" si="40"/>
        <v>0</v>
      </c>
      <c r="J87" s="23">
        <f t="shared" si="41"/>
        <v>68</v>
      </c>
      <c r="K87" s="23">
        <f t="shared" si="42"/>
        <v>0</v>
      </c>
      <c r="L87" s="24">
        <f t="shared" si="43"/>
        <v>19.730000000000004</v>
      </c>
      <c r="M87" s="24">
        <f t="shared" si="44"/>
        <v>19.730000000000004</v>
      </c>
      <c r="O87" s="24">
        <f t="shared" si="45"/>
        <v>0</v>
      </c>
      <c r="P87" s="24">
        <f t="shared" si="46"/>
        <v>0</v>
      </c>
      <c r="Q87" s="24">
        <f t="shared" si="47"/>
        <v>0</v>
      </c>
      <c r="R87" s="24">
        <f t="shared" si="48"/>
        <v>0</v>
      </c>
      <c r="S87" s="24">
        <f t="shared" si="49"/>
        <v>0</v>
      </c>
      <c r="T87" s="24">
        <f t="shared" si="50"/>
        <v>0</v>
      </c>
      <c r="V87" s="24"/>
      <c r="W87" s="24"/>
      <c r="X87" s="24"/>
      <c r="Y87" s="24"/>
      <c r="Z87" s="24"/>
      <c r="AA87" s="24"/>
    </row>
    <row r="88" spans="1:27" ht="33" customHeight="1" x14ac:dyDescent="0.2">
      <c r="A88" s="21">
        <v>76</v>
      </c>
      <c r="B88" s="25">
        <v>65</v>
      </c>
      <c r="C88" s="40">
        <f t="shared" si="34"/>
        <v>0</v>
      </c>
      <c r="D88" s="40">
        <f t="shared" si="35"/>
        <v>0</v>
      </c>
      <c r="E88" s="40">
        <f t="shared" si="36"/>
        <v>0</v>
      </c>
      <c r="F88" s="40">
        <f t="shared" si="37"/>
        <v>0</v>
      </c>
      <c r="G88" s="40">
        <f t="shared" si="38"/>
        <v>0</v>
      </c>
      <c r="H88" s="40">
        <f t="shared" si="39"/>
        <v>0</v>
      </c>
      <c r="I88" s="23">
        <f t="shared" si="40"/>
        <v>0</v>
      </c>
      <c r="J88" s="23">
        <f t="shared" si="41"/>
        <v>65</v>
      </c>
      <c r="K88" s="23">
        <f t="shared" si="42"/>
        <v>0</v>
      </c>
      <c r="L88" s="24">
        <f t="shared" si="43"/>
        <v>22.730000000000004</v>
      </c>
      <c r="M88" s="24">
        <f t="shared" si="44"/>
        <v>22.730000000000004</v>
      </c>
      <c r="O88" s="24">
        <f t="shared" si="45"/>
        <v>0</v>
      </c>
      <c r="P88" s="24">
        <f t="shared" si="46"/>
        <v>0</v>
      </c>
      <c r="Q88" s="24">
        <f t="shared" si="47"/>
        <v>0</v>
      </c>
      <c r="R88" s="24">
        <f t="shared" si="48"/>
        <v>0</v>
      </c>
      <c r="S88" s="24">
        <f t="shared" si="49"/>
        <v>0</v>
      </c>
      <c r="T88" s="24">
        <f t="shared" si="50"/>
        <v>0</v>
      </c>
      <c r="V88" s="24"/>
      <c r="W88" s="24"/>
      <c r="X88" s="24"/>
      <c r="Y88" s="24"/>
      <c r="Z88" s="24"/>
      <c r="AA88" s="24"/>
    </row>
    <row r="89" spans="1:27" ht="33" customHeight="1" x14ac:dyDescent="0.2">
      <c r="A89" s="21">
        <v>77</v>
      </c>
      <c r="B89" s="25">
        <v>81</v>
      </c>
      <c r="C89" s="40">
        <f t="shared" si="34"/>
        <v>0</v>
      </c>
      <c r="D89" s="40">
        <f t="shared" si="35"/>
        <v>0</v>
      </c>
      <c r="E89" s="40">
        <f t="shared" si="36"/>
        <v>0</v>
      </c>
      <c r="F89" s="40">
        <f t="shared" si="37"/>
        <v>0</v>
      </c>
      <c r="G89" s="40">
        <f t="shared" si="38"/>
        <v>0</v>
      </c>
      <c r="H89" s="40">
        <f t="shared" si="39"/>
        <v>0</v>
      </c>
      <c r="I89" s="23">
        <f t="shared" si="40"/>
        <v>0</v>
      </c>
      <c r="J89" s="23">
        <f t="shared" si="41"/>
        <v>81</v>
      </c>
      <c r="K89" s="23">
        <f t="shared" si="42"/>
        <v>0</v>
      </c>
      <c r="L89" s="24">
        <f t="shared" si="43"/>
        <v>6.730000000000004</v>
      </c>
      <c r="M89" s="24">
        <f t="shared" si="44"/>
        <v>6.730000000000004</v>
      </c>
      <c r="O89" s="24">
        <f t="shared" si="45"/>
        <v>0</v>
      </c>
      <c r="P89" s="24">
        <f t="shared" si="46"/>
        <v>0</v>
      </c>
      <c r="Q89" s="24">
        <f t="shared" si="47"/>
        <v>0</v>
      </c>
      <c r="R89" s="24">
        <f t="shared" si="48"/>
        <v>0</v>
      </c>
      <c r="S89" s="24">
        <f t="shared" si="49"/>
        <v>0</v>
      </c>
      <c r="T89" s="24">
        <f t="shared" si="50"/>
        <v>0</v>
      </c>
      <c r="V89" s="24"/>
      <c r="W89" s="24"/>
      <c r="X89" s="24"/>
      <c r="Y89" s="24"/>
      <c r="Z89" s="24"/>
      <c r="AA89" s="24"/>
    </row>
    <row r="90" spans="1:27" ht="33" customHeight="1" x14ac:dyDescent="0.2">
      <c r="A90" s="21">
        <v>78</v>
      </c>
      <c r="B90" s="25">
        <v>87</v>
      </c>
      <c r="C90" s="40">
        <f t="shared" si="34"/>
        <v>0</v>
      </c>
      <c r="D90" s="40">
        <f t="shared" si="35"/>
        <v>0</v>
      </c>
      <c r="E90" s="40">
        <f t="shared" si="36"/>
        <v>0</v>
      </c>
      <c r="F90" s="40">
        <f t="shared" si="37"/>
        <v>0</v>
      </c>
      <c r="G90" s="40">
        <f t="shared" si="38"/>
        <v>0</v>
      </c>
      <c r="H90" s="40">
        <f t="shared" si="39"/>
        <v>0</v>
      </c>
      <c r="I90" s="23">
        <f t="shared" si="40"/>
        <v>0</v>
      </c>
      <c r="J90" s="23">
        <f t="shared" si="41"/>
        <v>87</v>
      </c>
      <c r="K90" s="23">
        <f t="shared" si="42"/>
        <v>0</v>
      </c>
      <c r="L90" s="24">
        <f t="shared" si="43"/>
        <v>0.73000000000000398</v>
      </c>
      <c r="M90" s="24">
        <f t="shared" si="44"/>
        <v>0.73000000000000398</v>
      </c>
      <c r="O90" s="24">
        <f t="shared" si="45"/>
        <v>0</v>
      </c>
      <c r="P90" s="24">
        <f t="shared" si="46"/>
        <v>0</v>
      </c>
      <c r="Q90" s="24">
        <f t="shared" si="47"/>
        <v>0</v>
      </c>
      <c r="R90" s="24">
        <f t="shared" si="48"/>
        <v>0</v>
      </c>
      <c r="S90" s="24">
        <f t="shared" si="49"/>
        <v>0</v>
      </c>
      <c r="T90" s="24">
        <f t="shared" si="50"/>
        <v>0</v>
      </c>
      <c r="V90" s="24"/>
      <c r="W90" s="24"/>
      <c r="X90" s="24"/>
      <c r="Y90" s="24"/>
      <c r="Z90" s="24"/>
      <c r="AA90" s="24"/>
    </row>
    <row r="91" spans="1:27" ht="33" customHeight="1" x14ac:dyDescent="0.2">
      <c r="A91" s="21">
        <v>79</v>
      </c>
      <c r="B91" s="25">
        <v>57</v>
      </c>
      <c r="C91" s="40">
        <f t="shared" si="34"/>
        <v>0</v>
      </c>
      <c r="D91" s="40">
        <f t="shared" si="35"/>
        <v>0</v>
      </c>
      <c r="E91" s="40">
        <f t="shared" si="36"/>
        <v>0</v>
      </c>
      <c r="F91" s="40">
        <f t="shared" si="37"/>
        <v>0</v>
      </c>
      <c r="G91" s="40">
        <f t="shared" si="38"/>
        <v>0</v>
      </c>
      <c r="H91" s="40">
        <f t="shared" si="39"/>
        <v>0</v>
      </c>
      <c r="I91" s="23">
        <f t="shared" si="40"/>
        <v>0</v>
      </c>
      <c r="J91" s="23">
        <f t="shared" si="41"/>
        <v>57</v>
      </c>
      <c r="K91" s="23">
        <f t="shared" si="42"/>
        <v>0</v>
      </c>
      <c r="L91" s="24">
        <f t="shared" si="43"/>
        <v>30.730000000000004</v>
      </c>
      <c r="M91" s="24">
        <f t="shared" si="44"/>
        <v>30.730000000000004</v>
      </c>
      <c r="O91" s="24">
        <f t="shared" si="45"/>
        <v>0</v>
      </c>
      <c r="P91" s="24">
        <f t="shared" si="46"/>
        <v>0</v>
      </c>
      <c r="Q91" s="24">
        <f t="shared" si="47"/>
        <v>0</v>
      </c>
      <c r="R91" s="24">
        <f t="shared" si="48"/>
        <v>0</v>
      </c>
      <c r="S91" s="24">
        <f t="shared" si="49"/>
        <v>0</v>
      </c>
      <c r="T91" s="24">
        <f t="shared" si="50"/>
        <v>0</v>
      </c>
      <c r="V91" s="24"/>
      <c r="W91" s="24"/>
      <c r="X91" s="24"/>
      <c r="Y91" s="24"/>
      <c r="Z91" s="24"/>
      <c r="AA91" s="24"/>
    </row>
    <row r="92" spans="1:27" ht="33" customHeight="1" x14ac:dyDescent="0.2">
      <c r="A92" s="21">
        <v>80</v>
      </c>
      <c r="B92" s="25">
        <v>65</v>
      </c>
      <c r="C92" s="40">
        <f t="shared" si="34"/>
        <v>0</v>
      </c>
      <c r="D92" s="40">
        <f t="shared" si="35"/>
        <v>0</v>
      </c>
      <c r="E92" s="40">
        <f t="shared" si="36"/>
        <v>0</v>
      </c>
      <c r="F92" s="40">
        <f t="shared" si="37"/>
        <v>0</v>
      </c>
      <c r="G92" s="40">
        <f t="shared" si="38"/>
        <v>0</v>
      </c>
      <c r="H92" s="40">
        <f t="shared" si="39"/>
        <v>0</v>
      </c>
      <c r="I92" s="23">
        <f t="shared" si="40"/>
        <v>0</v>
      </c>
      <c r="J92" s="23">
        <f t="shared" si="41"/>
        <v>65</v>
      </c>
      <c r="K92" s="23">
        <f t="shared" si="42"/>
        <v>0</v>
      </c>
      <c r="L92" s="24">
        <f t="shared" si="43"/>
        <v>22.730000000000004</v>
      </c>
      <c r="M92" s="24">
        <f t="shared" si="44"/>
        <v>22.730000000000004</v>
      </c>
      <c r="O92" s="24">
        <f t="shared" si="45"/>
        <v>0</v>
      </c>
      <c r="P92" s="24">
        <f t="shared" si="46"/>
        <v>0</v>
      </c>
      <c r="Q92" s="24">
        <f t="shared" si="47"/>
        <v>0</v>
      </c>
      <c r="R92" s="24">
        <f t="shared" si="48"/>
        <v>0</v>
      </c>
      <c r="S92" s="24">
        <f t="shared" si="49"/>
        <v>0</v>
      </c>
      <c r="T92" s="24">
        <f t="shared" si="50"/>
        <v>0</v>
      </c>
      <c r="V92" s="24"/>
      <c r="W92" s="24"/>
      <c r="X92" s="24"/>
      <c r="Y92" s="24"/>
      <c r="Z92" s="24"/>
      <c r="AA92" s="24"/>
    </row>
    <row r="93" spans="1:27" ht="33" customHeight="1" x14ac:dyDescent="0.2">
      <c r="A93" s="21">
        <v>81</v>
      </c>
      <c r="B93" s="25">
        <v>77</v>
      </c>
      <c r="C93" s="40">
        <f t="shared" si="34"/>
        <v>0</v>
      </c>
      <c r="D93" s="40">
        <f t="shared" si="35"/>
        <v>0</v>
      </c>
      <c r="E93" s="40">
        <f t="shared" si="36"/>
        <v>0</v>
      </c>
      <c r="F93" s="40">
        <f t="shared" si="37"/>
        <v>0</v>
      </c>
      <c r="G93" s="40">
        <f t="shared" si="38"/>
        <v>0</v>
      </c>
      <c r="H93" s="40">
        <f t="shared" si="39"/>
        <v>0</v>
      </c>
      <c r="I93" s="23">
        <f t="shared" si="40"/>
        <v>0</v>
      </c>
      <c r="J93" s="23">
        <f t="shared" si="41"/>
        <v>77</v>
      </c>
      <c r="K93" s="23">
        <f t="shared" si="42"/>
        <v>0</v>
      </c>
      <c r="L93" s="24">
        <f t="shared" si="43"/>
        <v>10.730000000000004</v>
      </c>
      <c r="M93" s="24">
        <f t="shared" si="44"/>
        <v>10.730000000000004</v>
      </c>
      <c r="O93" s="24">
        <f t="shared" si="45"/>
        <v>0</v>
      </c>
      <c r="P93" s="24">
        <f t="shared" si="46"/>
        <v>0</v>
      </c>
      <c r="Q93" s="24">
        <f t="shared" si="47"/>
        <v>0</v>
      </c>
      <c r="R93" s="24">
        <f t="shared" si="48"/>
        <v>0</v>
      </c>
      <c r="S93" s="24">
        <f t="shared" si="49"/>
        <v>0</v>
      </c>
      <c r="T93" s="24">
        <f t="shared" si="50"/>
        <v>0</v>
      </c>
      <c r="V93" s="24"/>
      <c r="W93" s="24"/>
      <c r="X93" s="24"/>
      <c r="Y93" s="24"/>
      <c r="Z93" s="24"/>
      <c r="AA93" s="24"/>
    </row>
    <row r="94" spans="1:27" ht="33" customHeight="1" x14ac:dyDescent="0.2">
      <c r="A94" s="21">
        <v>82</v>
      </c>
      <c r="B94" s="25">
        <v>74</v>
      </c>
      <c r="C94" s="40">
        <f t="shared" si="34"/>
        <v>0</v>
      </c>
      <c r="D94" s="40">
        <f t="shared" si="35"/>
        <v>0</v>
      </c>
      <c r="E94" s="40">
        <f t="shared" si="36"/>
        <v>0</v>
      </c>
      <c r="F94" s="40">
        <f t="shared" si="37"/>
        <v>0</v>
      </c>
      <c r="G94" s="40">
        <f t="shared" si="38"/>
        <v>0</v>
      </c>
      <c r="H94" s="40">
        <f t="shared" si="39"/>
        <v>0</v>
      </c>
      <c r="I94" s="23">
        <f t="shared" si="40"/>
        <v>0</v>
      </c>
      <c r="J94" s="23">
        <f t="shared" si="41"/>
        <v>74</v>
      </c>
      <c r="K94" s="23">
        <f t="shared" si="42"/>
        <v>0</v>
      </c>
      <c r="L94" s="24">
        <f t="shared" si="43"/>
        <v>13.730000000000004</v>
      </c>
      <c r="M94" s="24">
        <f t="shared" si="44"/>
        <v>13.730000000000004</v>
      </c>
      <c r="O94" s="24">
        <f t="shared" si="45"/>
        <v>0</v>
      </c>
      <c r="P94" s="24">
        <f t="shared" si="46"/>
        <v>0</v>
      </c>
      <c r="Q94" s="24">
        <f t="shared" si="47"/>
        <v>0</v>
      </c>
      <c r="R94" s="24">
        <f t="shared" si="48"/>
        <v>0</v>
      </c>
      <c r="S94" s="24">
        <f t="shared" si="49"/>
        <v>0</v>
      </c>
      <c r="T94" s="24">
        <f t="shared" si="50"/>
        <v>0</v>
      </c>
      <c r="V94" s="24"/>
      <c r="W94" s="24"/>
      <c r="X94" s="24"/>
      <c r="Y94" s="24"/>
      <c r="Z94" s="24"/>
      <c r="AA94" s="24"/>
    </row>
    <row r="95" spans="1:27" ht="33" customHeight="1" x14ac:dyDescent="0.2">
      <c r="A95" s="21">
        <v>83</v>
      </c>
      <c r="B95" s="25">
        <v>65</v>
      </c>
      <c r="C95" s="40">
        <f t="shared" si="34"/>
        <v>0</v>
      </c>
      <c r="D95" s="40">
        <f t="shared" si="35"/>
        <v>0</v>
      </c>
      <c r="E95" s="40">
        <f t="shared" si="36"/>
        <v>0</v>
      </c>
      <c r="F95" s="40">
        <f t="shared" si="37"/>
        <v>0</v>
      </c>
      <c r="G95" s="40">
        <f t="shared" si="38"/>
        <v>0</v>
      </c>
      <c r="H95" s="40">
        <f t="shared" si="39"/>
        <v>0</v>
      </c>
      <c r="I95" s="23">
        <f t="shared" si="40"/>
        <v>0</v>
      </c>
      <c r="J95" s="23">
        <f t="shared" si="41"/>
        <v>65</v>
      </c>
      <c r="K95" s="23">
        <f t="shared" si="42"/>
        <v>0</v>
      </c>
      <c r="L95" s="24">
        <f t="shared" si="43"/>
        <v>22.730000000000004</v>
      </c>
      <c r="M95" s="24">
        <f t="shared" si="44"/>
        <v>22.730000000000004</v>
      </c>
      <c r="O95" s="24">
        <f t="shared" si="45"/>
        <v>0</v>
      </c>
      <c r="P95" s="24">
        <f t="shared" si="46"/>
        <v>0</v>
      </c>
      <c r="Q95" s="24">
        <f t="shared" si="47"/>
        <v>0</v>
      </c>
      <c r="R95" s="24">
        <f t="shared" si="48"/>
        <v>0</v>
      </c>
      <c r="S95" s="24">
        <f t="shared" si="49"/>
        <v>0</v>
      </c>
      <c r="T95" s="24">
        <f t="shared" si="50"/>
        <v>0</v>
      </c>
      <c r="V95" s="24"/>
      <c r="W95" s="24"/>
      <c r="X95" s="24"/>
      <c r="Y95" s="24"/>
      <c r="Z95" s="24"/>
      <c r="AA95" s="24"/>
    </row>
    <row r="96" spans="1:27" ht="33" customHeight="1" x14ac:dyDescent="0.2">
      <c r="A96" s="21">
        <v>84</v>
      </c>
      <c r="B96" s="25">
        <v>83</v>
      </c>
      <c r="C96" s="40">
        <f t="shared" si="34"/>
        <v>0</v>
      </c>
      <c r="D96" s="40">
        <f t="shared" si="35"/>
        <v>0</v>
      </c>
      <c r="E96" s="40">
        <f t="shared" si="36"/>
        <v>0</v>
      </c>
      <c r="F96" s="40">
        <f t="shared" si="37"/>
        <v>0</v>
      </c>
      <c r="G96" s="40">
        <f t="shared" si="38"/>
        <v>0</v>
      </c>
      <c r="H96" s="40">
        <f t="shared" si="39"/>
        <v>0</v>
      </c>
      <c r="I96" s="23">
        <f t="shared" si="40"/>
        <v>0</v>
      </c>
      <c r="J96" s="23">
        <f t="shared" si="41"/>
        <v>83</v>
      </c>
      <c r="K96" s="23">
        <f t="shared" si="42"/>
        <v>0</v>
      </c>
      <c r="L96" s="24">
        <f t="shared" si="43"/>
        <v>4.730000000000004</v>
      </c>
      <c r="M96" s="24">
        <f t="shared" si="44"/>
        <v>4.730000000000004</v>
      </c>
      <c r="O96" s="24">
        <f t="shared" si="45"/>
        <v>0</v>
      </c>
      <c r="P96" s="24">
        <f t="shared" si="46"/>
        <v>0</v>
      </c>
      <c r="Q96" s="24">
        <f t="shared" si="47"/>
        <v>0</v>
      </c>
      <c r="R96" s="24">
        <f t="shared" si="48"/>
        <v>0</v>
      </c>
      <c r="S96" s="24">
        <f t="shared" si="49"/>
        <v>0</v>
      </c>
      <c r="T96" s="24">
        <f t="shared" si="50"/>
        <v>0</v>
      </c>
      <c r="V96" s="24"/>
      <c r="W96" s="24"/>
      <c r="X96" s="24"/>
      <c r="Y96" s="24"/>
      <c r="Z96" s="24"/>
      <c r="AA96" s="24"/>
    </row>
    <row r="97" spans="1:27" ht="33" customHeight="1" x14ac:dyDescent="0.2">
      <c r="A97" s="21">
        <v>85</v>
      </c>
      <c r="B97" s="25">
        <v>50</v>
      </c>
      <c r="C97" s="40">
        <f t="shared" si="34"/>
        <v>0</v>
      </c>
      <c r="D97" s="40">
        <f t="shared" si="35"/>
        <v>0</v>
      </c>
      <c r="E97" s="40">
        <f t="shared" si="36"/>
        <v>0</v>
      </c>
      <c r="F97" s="40">
        <f t="shared" si="37"/>
        <v>0</v>
      </c>
      <c r="G97" s="40">
        <f t="shared" si="38"/>
        <v>0</v>
      </c>
      <c r="H97" s="40">
        <f t="shared" si="39"/>
        <v>0</v>
      </c>
      <c r="I97" s="23">
        <f t="shared" si="40"/>
        <v>0</v>
      </c>
      <c r="J97" s="23">
        <f t="shared" si="41"/>
        <v>50</v>
      </c>
      <c r="K97" s="23">
        <f t="shared" si="42"/>
        <v>0</v>
      </c>
      <c r="L97" s="24">
        <f t="shared" si="43"/>
        <v>37.730000000000004</v>
      </c>
      <c r="M97" s="24">
        <f t="shared" si="44"/>
        <v>37.730000000000004</v>
      </c>
      <c r="O97" s="24">
        <f t="shared" si="45"/>
        <v>0</v>
      </c>
      <c r="P97" s="24">
        <f t="shared" si="46"/>
        <v>0</v>
      </c>
      <c r="Q97" s="24">
        <f t="shared" si="47"/>
        <v>0</v>
      </c>
      <c r="R97" s="24">
        <f t="shared" si="48"/>
        <v>0</v>
      </c>
      <c r="S97" s="24">
        <f t="shared" si="49"/>
        <v>0</v>
      </c>
      <c r="T97" s="24">
        <f t="shared" si="50"/>
        <v>0</v>
      </c>
      <c r="V97" s="24"/>
      <c r="W97" s="24"/>
      <c r="X97" s="24"/>
      <c r="Y97" s="24"/>
      <c r="Z97" s="24"/>
      <c r="AA97" s="24"/>
    </row>
    <row r="98" spans="1:27" ht="33" customHeight="1" x14ac:dyDescent="0.2">
      <c r="A98" s="21">
        <v>86</v>
      </c>
      <c r="B98" s="25">
        <v>43</v>
      </c>
      <c r="C98" s="40">
        <f t="shared" si="34"/>
        <v>0</v>
      </c>
      <c r="D98" s="40">
        <f t="shared" si="35"/>
        <v>0</v>
      </c>
      <c r="E98" s="40">
        <f t="shared" si="36"/>
        <v>0</v>
      </c>
      <c r="F98" s="40">
        <f t="shared" si="37"/>
        <v>0</v>
      </c>
      <c r="G98" s="40">
        <f t="shared" si="38"/>
        <v>0</v>
      </c>
      <c r="H98" s="40">
        <f t="shared" si="39"/>
        <v>0</v>
      </c>
      <c r="I98" s="23">
        <f t="shared" si="40"/>
        <v>0</v>
      </c>
      <c r="J98" s="23">
        <f t="shared" si="41"/>
        <v>43</v>
      </c>
      <c r="K98" s="23">
        <f t="shared" si="42"/>
        <v>0</v>
      </c>
      <c r="L98" s="24">
        <f t="shared" si="43"/>
        <v>44.730000000000004</v>
      </c>
      <c r="M98" s="24">
        <f t="shared" si="44"/>
        <v>44.730000000000004</v>
      </c>
      <c r="O98" s="24">
        <f t="shared" si="45"/>
        <v>0</v>
      </c>
      <c r="P98" s="24">
        <f t="shared" si="46"/>
        <v>0</v>
      </c>
      <c r="Q98" s="24">
        <f t="shared" si="47"/>
        <v>0</v>
      </c>
      <c r="R98" s="24">
        <f t="shared" si="48"/>
        <v>0</v>
      </c>
      <c r="S98" s="24">
        <f t="shared" si="49"/>
        <v>0</v>
      </c>
      <c r="T98" s="24">
        <f t="shared" si="50"/>
        <v>0</v>
      </c>
      <c r="V98" s="24"/>
      <c r="W98" s="24"/>
      <c r="X98" s="24"/>
      <c r="Y98" s="24"/>
      <c r="Z98" s="24"/>
      <c r="AA98" s="24"/>
    </row>
    <row r="99" spans="1:27" ht="33" customHeight="1" x14ac:dyDescent="0.2">
      <c r="A99" s="21">
        <v>87</v>
      </c>
      <c r="B99" s="25">
        <v>61</v>
      </c>
      <c r="C99" s="40">
        <f t="shared" si="34"/>
        <v>0</v>
      </c>
      <c r="D99" s="40">
        <f t="shared" si="35"/>
        <v>0</v>
      </c>
      <c r="E99" s="40">
        <f t="shared" si="36"/>
        <v>0</v>
      </c>
      <c r="F99" s="40">
        <f t="shared" si="37"/>
        <v>0</v>
      </c>
      <c r="G99" s="40">
        <f t="shared" si="38"/>
        <v>0</v>
      </c>
      <c r="H99" s="40">
        <f t="shared" si="39"/>
        <v>0</v>
      </c>
      <c r="I99" s="23">
        <f t="shared" si="40"/>
        <v>0</v>
      </c>
      <c r="J99" s="23">
        <f t="shared" si="41"/>
        <v>61</v>
      </c>
      <c r="K99" s="23">
        <f t="shared" si="42"/>
        <v>0</v>
      </c>
      <c r="L99" s="24">
        <f t="shared" si="43"/>
        <v>26.730000000000004</v>
      </c>
      <c r="M99" s="24">
        <f t="shared" si="44"/>
        <v>26.730000000000004</v>
      </c>
      <c r="O99" s="24">
        <f t="shared" si="45"/>
        <v>0</v>
      </c>
      <c r="P99" s="24">
        <f t="shared" si="46"/>
        <v>0</v>
      </c>
      <c r="Q99" s="24">
        <f t="shared" si="47"/>
        <v>0</v>
      </c>
      <c r="R99" s="24">
        <f t="shared" si="48"/>
        <v>0</v>
      </c>
      <c r="S99" s="24">
        <f t="shared" si="49"/>
        <v>0</v>
      </c>
      <c r="T99" s="24">
        <f t="shared" si="50"/>
        <v>0</v>
      </c>
      <c r="V99" s="24"/>
      <c r="W99" s="24"/>
      <c r="X99" s="24"/>
      <c r="Y99" s="24"/>
      <c r="Z99" s="24"/>
      <c r="AA99" s="24"/>
    </row>
    <row r="100" spans="1:27" ht="33" customHeight="1" x14ac:dyDescent="0.2">
      <c r="A100" s="21">
        <v>88</v>
      </c>
      <c r="B100" s="25">
        <v>40</v>
      </c>
      <c r="C100" s="40">
        <f t="shared" si="34"/>
        <v>0</v>
      </c>
      <c r="D100" s="40">
        <f t="shared" si="35"/>
        <v>0</v>
      </c>
      <c r="E100" s="40">
        <f t="shared" si="36"/>
        <v>0</v>
      </c>
      <c r="F100" s="40">
        <f t="shared" si="37"/>
        <v>0</v>
      </c>
      <c r="G100" s="40">
        <f t="shared" si="38"/>
        <v>0</v>
      </c>
      <c r="H100" s="40">
        <f t="shared" si="39"/>
        <v>0</v>
      </c>
      <c r="I100" s="23">
        <f t="shared" si="40"/>
        <v>0</v>
      </c>
      <c r="J100" s="23">
        <f t="shared" si="41"/>
        <v>40</v>
      </c>
      <c r="K100" s="23">
        <f t="shared" si="42"/>
        <v>0</v>
      </c>
      <c r="L100" s="24">
        <f t="shared" si="43"/>
        <v>47.730000000000004</v>
      </c>
      <c r="M100" s="24">
        <f t="shared" si="44"/>
        <v>47.730000000000004</v>
      </c>
      <c r="O100" s="24">
        <f t="shared" si="45"/>
        <v>0</v>
      </c>
      <c r="P100" s="24">
        <f t="shared" si="46"/>
        <v>0</v>
      </c>
      <c r="Q100" s="24">
        <f t="shared" si="47"/>
        <v>0</v>
      </c>
      <c r="R100" s="24">
        <f t="shared" si="48"/>
        <v>0</v>
      </c>
      <c r="S100" s="24">
        <f t="shared" si="49"/>
        <v>0</v>
      </c>
      <c r="T100" s="24">
        <f t="shared" si="50"/>
        <v>0</v>
      </c>
      <c r="V100" s="24"/>
      <c r="W100" s="24"/>
      <c r="X100" s="24"/>
      <c r="Y100" s="24"/>
      <c r="Z100" s="24"/>
      <c r="AA100" s="24"/>
    </row>
    <row r="101" spans="1:27" ht="33" customHeight="1" x14ac:dyDescent="0.2">
      <c r="A101" s="21">
        <v>89</v>
      </c>
      <c r="B101" s="25">
        <v>57</v>
      </c>
      <c r="C101" s="40">
        <f t="shared" si="34"/>
        <v>0</v>
      </c>
      <c r="D101" s="40">
        <f t="shared" si="35"/>
        <v>0</v>
      </c>
      <c r="E101" s="40">
        <f t="shared" si="36"/>
        <v>0</v>
      </c>
      <c r="F101" s="40">
        <f t="shared" si="37"/>
        <v>0</v>
      </c>
      <c r="G101" s="40">
        <f t="shared" si="38"/>
        <v>0</v>
      </c>
      <c r="H101" s="40">
        <f t="shared" si="39"/>
        <v>0</v>
      </c>
      <c r="I101" s="23">
        <f t="shared" si="40"/>
        <v>0</v>
      </c>
      <c r="J101" s="23">
        <f t="shared" si="41"/>
        <v>57</v>
      </c>
      <c r="K101" s="23">
        <f t="shared" si="42"/>
        <v>0</v>
      </c>
      <c r="L101" s="24">
        <f t="shared" si="43"/>
        <v>30.730000000000004</v>
      </c>
      <c r="M101" s="24">
        <f t="shared" si="44"/>
        <v>30.730000000000004</v>
      </c>
      <c r="O101" s="24">
        <f t="shared" si="45"/>
        <v>0</v>
      </c>
      <c r="P101" s="24">
        <f t="shared" si="46"/>
        <v>0</v>
      </c>
      <c r="Q101" s="24">
        <f t="shared" si="47"/>
        <v>0</v>
      </c>
      <c r="R101" s="24">
        <f t="shared" si="48"/>
        <v>0</v>
      </c>
      <c r="S101" s="24">
        <f t="shared" si="49"/>
        <v>0</v>
      </c>
      <c r="T101" s="24">
        <f t="shared" si="50"/>
        <v>0</v>
      </c>
      <c r="V101" s="24"/>
      <c r="W101" s="24"/>
      <c r="X101" s="24"/>
      <c r="Y101" s="24"/>
      <c r="Z101" s="24"/>
      <c r="AA101" s="24"/>
    </row>
    <row r="102" spans="1:27" ht="33" customHeight="1" x14ac:dyDescent="0.2">
      <c r="A102" s="21">
        <v>90</v>
      </c>
      <c r="B102" s="25">
        <v>91</v>
      </c>
      <c r="C102" s="40">
        <f t="shared" si="34"/>
        <v>0</v>
      </c>
      <c r="D102" s="40">
        <f t="shared" si="35"/>
        <v>0</v>
      </c>
      <c r="E102" s="40">
        <f t="shared" si="36"/>
        <v>0</v>
      </c>
      <c r="F102" s="40">
        <f t="shared" si="37"/>
        <v>0</v>
      </c>
      <c r="G102" s="40">
        <f t="shared" si="38"/>
        <v>0</v>
      </c>
      <c r="H102" s="40">
        <f t="shared" si="39"/>
        <v>0</v>
      </c>
      <c r="I102" s="23">
        <f t="shared" si="40"/>
        <v>0</v>
      </c>
      <c r="J102" s="23">
        <f t="shared" si="41"/>
        <v>91</v>
      </c>
      <c r="K102" s="23">
        <f t="shared" si="42"/>
        <v>0</v>
      </c>
      <c r="L102" s="24">
        <f t="shared" si="43"/>
        <v>3.269999999999996</v>
      </c>
      <c r="M102" s="24">
        <f t="shared" si="44"/>
        <v>3.269999999999996</v>
      </c>
      <c r="O102" s="24">
        <f t="shared" si="45"/>
        <v>0</v>
      </c>
      <c r="P102" s="24">
        <f t="shared" si="46"/>
        <v>0</v>
      </c>
      <c r="Q102" s="24">
        <f t="shared" si="47"/>
        <v>0</v>
      </c>
      <c r="R102" s="24">
        <f t="shared" si="48"/>
        <v>0</v>
      </c>
      <c r="S102" s="24">
        <f t="shared" si="49"/>
        <v>0</v>
      </c>
      <c r="T102" s="24">
        <f t="shared" si="50"/>
        <v>0</v>
      </c>
      <c r="V102" s="24"/>
      <c r="W102" s="24"/>
      <c r="X102" s="24"/>
      <c r="Y102" s="24"/>
      <c r="Z102" s="24"/>
      <c r="AA102" s="24"/>
    </row>
    <row r="103" spans="1:27" ht="33" customHeight="1" x14ac:dyDescent="0.2">
      <c r="A103" s="21">
        <v>91</v>
      </c>
      <c r="B103" s="25">
        <v>59</v>
      </c>
      <c r="C103" s="40">
        <f t="shared" si="34"/>
        <v>0</v>
      </c>
      <c r="D103" s="40">
        <f t="shared" si="35"/>
        <v>0</v>
      </c>
      <c r="E103" s="40">
        <f t="shared" si="36"/>
        <v>0</v>
      </c>
      <c r="F103" s="40">
        <f t="shared" si="37"/>
        <v>0</v>
      </c>
      <c r="G103" s="40">
        <f t="shared" si="38"/>
        <v>0</v>
      </c>
      <c r="H103" s="40">
        <f t="shared" si="39"/>
        <v>0</v>
      </c>
      <c r="I103" s="23">
        <f t="shared" si="40"/>
        <v>0</v>
      </c>
      <c r="J103" s="23">
        <f t="shared" si="41"/>
        <v>59</v>
      </c>
      <c r="K103" s="23">
        <f t="shared" si="42"/>
        <v>0</v>
      </c>
      <c r="L103" s="24">
        <f t="shared" si="43"/>
        <v>28.730000000000004</v>
      </c>
      <c r="M103" s="24">
        <f t="shared" si="44"/>
        <v>28.730000000000004</v>
      </c>
      <c r="O103" s="24">
        <f t="shared" si="45"/>
        <v>0</v>
      </c>
      <c r="P103" s="24">
        <f t="shared" si="46"/>
        <v>0</v>
      </c>
      <c r="Q103" s="24">
        <f t="shared" si="47"/>
        <v>0</v>
      </c>
      <c r="R103" s="24">
        <f t="shared" si="48"/>
        <v>0</v>
      </c>
      <c r="S103" s="24">
        <f t="shared" si="49"/>
        <v>0</v>
      </c>
      <c r="T103" s="24">
        <f t="shared" si="50"/>
        <v>0</v>
      </c>
      <c r="V103" s="24"/>
      <c r="W103" s="24"/>
      <c r="X103" s="24"/>
      <c r="Y103" s="24"/>
      <c r="Z103" s="24"/>
      <c r="AA103" s="24"/>
    </row>
    <row r="104" spans="1:27" ht="33" customHeight="1" x14ac:dyDescent="0.2">
      <c r="A104" s="21">
        <v>92</v>
      </c>
      <c r="B104" s="25">
        <v>123</v>
      </c>
      <c r="C104" s="40">
        <f t="shared" si="34"/>
        <v>0</v>
      </c>
      <c r="D104" s="40">
        <f t="shared" si="35"/>
        <v>0</v>
      </c>
      <c r="E104" s="40">
        <f t="shared" si="36"/>
        <v>0</v>
      </c>
      <c r="F104" s="40">
        <f t="shared" si="37"/>
        <v>0</v>
      </c>
      <c r="G104" s="40">
        <f t="shared" si="38"/>
        <v>0</v>
      </c>
      <c r="H104" s="40">
        <f t="shared" si="39"/>
        <v>0</v>
      </c>
      <c r="I104" s="23">
        <f t="shared" si="40"/>
        <v>0</v>
      </c>
      <c r="J104" s="23">
        <f t="shared" si="41"/>
        <v>123</v>
      </c>
      <c r="K104" s="23">
        <f t="shared" si="42"/>
        <v>0</v>
      </c>
      <c r="L104" s="24">
        <f t="shared" si="43"/>
        <v>35.269999999999996</v>
      </c>
      <c r="M104" s="24">
        <f t="shared" si="44"/>
        <v>35.269999999999996</v>
      </c>
      <c r="O104" s="24">
        <f t="shared" si="45"/>
        <v>0</v>
      </c>
      <c r="P104" s="24">
        <f t="shared" si="46"/>
        <v>0</v>
      </c>
      <c r="Q104" s="24">
        <f t="shared" si="47"/>
        <v>0</v>
      </c>
      <c r="R104" s="24">
        <f t="shared" si="48"/>
        <v>0</v>
      </c>
      <c r="S104" s="24">
        <f t="shared" si="49"/>
        <v>0</v>
      </c>
      <c r="T104" s="24">
        <f t="shared" si="50"/>
        <v>0</v>
      </c>
      <c r="V104" s="24"/>
      <c r="W104" s="24"/>
      <c r="X104" s="24"/>
      <c r="Y104" s="24"/>
      <c r="Z104" s="24"/>
      <c r="AA104" s="24"/>
    </row>
    <row r="105" spans="1:27" ht="33" customHeight="1" x14ac:dyDescent="0.2">
      <c r="A105" s="21">
        <v>93</v>
      </c>
      <c r="B105" s="25">
        <v>52</v>
      </c>
      <c r="C105" s="40">
        <f t="shared" si="34"/>
        <v>0</v>
      </c>
      <c r="D105" s="40">
        <f t="shared" si="35"/>
        <v>0</v>
      </c>
      <c r="E105" s="40">
        <f t="shared" si="36"/>
        <v>0</v>
      </c>
      <c r="F105" s="40">
        <f t="shared" si="37"/>
        <v>0</v>
      </c>
      <c r="G105" s="40">
        <f t="shared" si="38"/>
        <v>0</v>
      </c>
      <c r="H105" s="40">
        <f t="shared" si="39"/>
        <v>0</v>
      </c>
      <c r="I105" s="23">
        <f t="shared" si="40"/>
        <v>0</v>
      </c>
      <c r="J105" s="23">
        <f t="shared" si="41"/>
        <v>52</v>
      </c>
      <c r="K105" s="23">
        <f t="shared" si="42"/>
        <v>0</v>
      </c>
      <c r="L105" s="24">
        <f t="shared" si="43"/>
        <v>35.730000000000004</v>
      </c>
      <c r="M105" s="24">
        <f t="shared" si="44"/>
        <v>35.730000000000004</v>
      </c>
      <c r="O105" s="24">
        <f t="shared" si="45"/>
        <v>0</v>
      </c>
      <c r="P105" s="24">
        <f t="shared" si="46"/>
        <v>0</v>
      </c>
      <c r="Q105" s="24">
        <f t="shared" si="47"/>
        <v>0</v>
      </c>
      <c r="R105" s="24">
        <f t="shared" si="48"/>
        <v>0</v>
      </c>
      <c r="S105" s="24">
        <f t="shared" si="49"/>
        <v>0</v>
      </c>
      <c r="T105" s="24">
        <f t="shared" si="50"/>
        <v>0</v>
      </c>
      <c r="V105" s="24"/>
      <c r="W105" s="24"/>
      <c r="X105" s="24"/>
      <c r="Y105" s="24"/>
      <c r="Z105" s="24"/>
      <c r="AA105" s="24"/>
    </row>
    <row r="106" spans="1:27" ht="33" customHeight="1" x14ac:dyDescent="0.2">
      <c r="A106" s="21">
        <v>94</v>
      </c>
      <c r="B106" s="25">
        <v>135</v>
      </c>
      <c r="C106" s="40">
        <f t="shared" si="34"/>
        <v>0</v>
      </c>
      <c r="D106" s="40">
        <f t="shared" si="35"/>
        <v>0</v>
      </c>
      <c r="E106" s="40">
        <f t="shared" si="36"/>
        <v>0</v>
      </c>
      <c r="F106" s="40">
        <f t="shared" si="37"/>
        <v>0</v>
      </c>
      <c r="G106" s="40">
        <f t="shared" si="38"/>
        <v>0</v>
      </c>
      <c r="H106" s="40">
        <f t="shared" si="39"/>
        <v>0</v>
      </c>
      <c r="I106" s="23">
        <f t="shared" si="40"/>
        <v>0</v>
      </c>
      <c r="J106" s="23">
        <f t="shared" si="41"/>
        <v>135</v>
      </c>
      <c r="K106" s="23">
        <f t="shared" si="42"/>
        <v>0</v>
      </c>
      <c r="L106" s="24">
        <f t="shared" si="43"/>
        <v>47.269999999999996</v>
      </c>
      <c r="M106" s="24">
        <f t="shared" si="44"/>
        <v>47.269999999999996</v>
      </c>
      <c r="O106" s="24">
        <f t="shared" si="45"/>
        <v>0</v>
      </c>
      <c r="P106" s="24">
        <f t="shared" si="46"/>
        <v>0</v>
      </c>
      <c r="Q106" s="24">
        <f t="shared" si="47"/>
        <v>0</v>
      </c>
      <c r="R106" s="24">
        <f t="shared" si="48"/>
        <v>0</v>
      </c>
      <c r="S106" s="24">
        <f t="shared" si="49"/>
        <v>0</v>
      </c>
      <c r="T106" s="24">
        <f t="shared" si="50"/>
        <v>0</v>
      </c>
      <c r="V106" s="24"/>
      <c r="W106" s="24"/>
      <c r="X106" s="24"/>
      <c r="Y106" s="24"/>
      <c r="Z106" s="24"/>
      <c r="AA106" s="24"/>
    </row>
    <row r="107" spans="1:27" ht="33" customHeight="1" x14ac:dyDescent="0.2">
      <c r="A107" s="21">
        <v>95</v>
      </c>
      <c r="B107" s="25">
        <v>107</v>
      </c>
      <c r="C107" s="40">
        <f t="shared" si="34"/>
        <v>0</v>
      </c>
      <c r="D107" s="40">
        <f t="shared" si="35"/>
        <v>0</v>
      </c>
      <c r="E107" s="40">
        <f t="shared" si="36"/>
        <v>0</v>
      </c>
      <c r="F107" s="40">
        <f t="shared" si="37"/>
        <v>0</v>
      </c>
      <c r="G107" s="40">
        <f t="shared" si="38"/>
        <v>0</v>
      </c>
      <c r="H107" s="40">
        <f t="shared" si="39"/>
        <v>0</v>
      </c>
      <c r="I107" s="23">
        <f t="shared" si="40"/>
        <v>0</v>
      </c>
      <c r="J107" s="23">
        <f t="shared" si="41"/>
        <v>107</v>
      </c>
      <c r="K107" s="23">
        <f t="shared" si="42"/>
        <v>0</v>
      </c>
      <c r="L107" s="24">
        <f t="shared" si="43"/>
        <v>19.269999999999996</v>
      </c>
      <c r="M107" s="24">
        <f t="shared" si="44"/>
        <v>19.269999999999996</v>
      </c>
      <c r="O107" s="24">
        <f t="shared" si="45"/>
        <v>0</v>
      </c>
      <c r="P107" s="24">
        <f t="shared" si="46"/>
        <v>0</v>
      </c>
      <c r="Q107" s="24">
        <f t="shared" si="47"/>
        <v>0</v>
      </c>
      <c r="R107" s="24">
        <f t="shared" si="48"/>
        <v>0</v>
      </c>
      <c r="S107" s="24">
        <f t="shared" si="49"/>
        <v>0</v>
      </c>
      <c r="T107" s="24">
        <f t="shared" si="50"/>
        <v>0</v>
      </c>
      <c r="V107" s="24"/>
      <c r="W107" s="24"/>
      <c r="X107" s="24"/>
      <c r="Y107" s="24"/>
      <c r="Z107" s="24"/>
      <c r="AA107" s="24"/>
    </row>
    <row r="108" spans="1:27" ht="33" customHeight="1" x14ac:dyDescent="0.2">
      <c r="A108" s="21">
        <v>96</v>
      </c>
      <c r="B108" s="25">
        <v>43</v>
      </c>
      <c r="C108" s="40">
        <f t="shared" si="34"/>
        <v>0</v>
      </c>
      <c r="D108" s="40">
        <f t="shared" si="35"/>
        <v>0</v>
      </c>
      <c r="E108" s="40">
        <f t="shared" si="36"/>
        <v>0</v>
      </c>
      <c r="F108" s="40">
        <f t="shared" si="37"/>
        <v>0</v>
      </c>
      <c r="G108" s="40">
        <f t="shared" si="38"/>
        <v>0</v>
      </c>
      <c r="H108" s="40">
        <f t="shared" si="39"/>
        <v>0</v>
      </c>
      <c r="I108" s="23">
        <f t="shared" si="40"/>
        <v>0</v>
      </c>
      <c r="J108" s="23">
        <f t="shared" si="41"/>
        <v>43</v>
      </c>
      <c r="K108" s="23">
        <f t="shared" si="42"/>
        <v>0</v>
      </c>
      <c r="L108" s="24">
        <f t="shared" si="43"/>
        <v>44.730000000000004</v>
      </c>
      <c r="M108" s="24">
        <f t="shared" si="44"/>
        <v>44.730000000000004</v>
      </c>
      <c r="O108" s="24">
        <f t="shared" si="45"/>
        <v>0</v>
      </c>
      <c r="P108" s="24">
        <f t="shared" si="46"/>
        <v>0</v>
      </c>
      <c r="Q108" s="24">
        <f t="shared" si="47"/>
        <v>0</v>
      </c>
      <c r="R108" s="24">
        <f t="shared" si="48"/>
        <v>0</v>
      </c>
      <c r="S108" s="24">
        <f t="shared" si="49"/>
        <v>0</v>
      </c>
      <c r="T108" s="24">
        <f t="shared" si="50"/>
        <v>0</v>
      </c>
      <c r="V108" s="24"/>
      <c r="W108" s="24"/>
      <c r="X108" s="24"/>
      <c r="Y108" s="24"/>
      <c r="Z108" s="24"/>
      <c r="AA108" s="24"/>
    </row>
    <row r="109" spans="1:27" ht="33" customHeight="1" x14ac:dyDescent="0.2">
      <c r="A109" s="21">
        <v>97</v>
      </c>
      <c r="B109" s="25">
        <v>130</v>
      </c>
      <c r="C109" s="40">
        <f t="shared" si="34"/>
        <v>0</v>
      </c>
      <c r="D109" s="40">
        <f t="shared" si="35"/>
        <v>0</v>
      </c>
      <c r="E109" s="40">
        <f t="shared" si="36"/>
        <v>0</v>
      </c>
      <c r="F109" s="40">
        <f t="shared" si="37"/>
        <v>0</v>
      </c>
      <c r="G109" s="40">
        <f t="shared" si="38"/>
        <v>0</v>
      </c>
      <c r="H109" s="40">
        <f t="shared" si="39"/>
        <v>0</v>
      </c>
      <c r="I109" s="23">
        <f t="shared" ref="I109:I140" si="51">SUM(C109:H109)</f>
        <v>0</v>
      </c>
      <c r="J109" s="23">
        <f t="shared" ref="J109:J140" si="52">IF(I109&gt;0,0,B109)</f>
        <v>130</v>
      </c>
      <c r="K109" s="23">
        <f t="shared" si="42"/>
        <v>0</v>
      </c>
      <c r="L109" s="24">
        <f t="shared" si="43"/>
        <v>42.269999999999996</v>
      </c>
      <c r="M109" s="24">
        <f t="shared" ref="M109:M140" si="53">IF(I109&gt;0,0,L109)</f>
        <v>42.269999999999996</v>
      </c>
      <c r="O109" s="24">
        <f t="shared" si="45"/>
        <v>0</v>
      </c>
      <c r="P109" s="24">
        <f t="shared" si="46"/>
        <v>0</v>
      </c>
      <c r="Q109" s="24">
        <f t="shared" si="47"/>
        <v>0</v>
      </c>
      <c r="R109" s="24">
        <f t="shared" si="48"/>
        <v>0</v>
      </c>
      <c r="S109" s="24">
        <f t="shared" si="49"/>
        <v>0</v>
      </c>
      <c r="T109" s="24">
        <f t="shared" si="50"/>
        <v>0</v>
      </c>
      <c r="V109" s="24"/>
      <c r="W109" s="24"/>
      <c r="X109" s="24"/>
      <c r="Y109" s="24"/>
      <c r="Z109" s="24"/>
      <c r="AA109" s="24"/>
    </row>
    <row r="110" spans="1:27" ht="33" customHeight="1" x14ac:dyDescent="0.2">
      <c r="A110" s="21">
        <v>98</v>
      </c>
      <c r="B110" s="25">
        <v>74</v>
      </c>
      <c r="C110" s="40">
        <f t="shared" si="34"/>
        <v>0</v>
      </c>
      <c r="D110" s="40">
        <f t="shared" si="35"/>
        <v>0</v>
      </c>
      <c r="E110" s="40">
        <f t="shared" si="36"/>
        <v>0</v>
      </c>
      <c r="F110" s="40">
        <f t="shared" si="37"/>
        <v>0</v>
      </c>
      <c r="G110" s="40">
        <f t="shared" si="38"/>
        <v>0</v>
      </c>
      <c r="H110" s="40">
        <f t="shared" si="39"/>
        <v>0</v>
      </c>
      <c r="I110" s="23">
        <f t="shared" si="51"/>
        <v>0</v>
      </c>
      <c r="J110" s="23">
        <f t="shared" si="52"/>
        <v>74</v>
      </c>
      <c r="K110" s="23">
        <f t="shared" si="42"/>
        <v>0</v>
      </c>
      <c r="L110" s="24">
        <f t="shared" si="43"/>
        <v>13.730000000000004</v>
      </c>
      <c r="M110" s="24">
        <f t="shared" si="53"/>
        <v>13.730000000000004</v>
      </c>
      <c r="O110" s="24">
        <f t="shared" si="45"/>
        <v>0</v>
      </c>
      <c r="P110" s="24">
        <f t="shared" si="46"/>
        <v>0</v>
      </c>
      <c r="Q110" s="24">
        <f t="shared" si="47"/>
        <v>0</v>
      </c>
      <c r="R110" s="24">
        <f t="shared" si="48"/>
        <v>0</v>
      </c>
      <c r="S110" s="24">
        <f t="shared" si="49"/>
        <v>0</v>
      </c>
      <c r="T110" s="24">
        <f t="shared" si="50"/>
        <v>0</v>
      </c>
      <c r="V110" s="24"/>
      <c r="W110" s="24"/>
      <c r="X110" s="24"/>
      <c r="Y110" s="24"/>
      <c r="Z110" s="24"/>
      <c r="AA110" s="24"/>
    </row>
    <row r="111" spans="1:27" ht="33" customHeight="1" x14ac:dyDescent="0.2">
      <c r="A111" s="21">
        <v>99</v>
      </c>
      <c r="B111" s="25">
        <v>83</v>
      </c>
      <c r="C111" s="40">
        <f t="shared" si="34"/>
        <v>0</v>
      </c>
      <c r="D111" s="40">
        <f t="shared" si="35"/>
        <v>0</v>
      </c>
      <c r="E111" s="40">
        <f t="shared" si="36"/>
        <v>0</v>
      </c>
      <c r="F111" s="40">
        <f t="shared" si="37"/>
        <v>0</v>
      </c>
      <c r="G111" s="40">
        <f t="shared" si="38"/>
        <v>0</v>
      </c>
      <c r="H111" s="40">
        <f t="shared" si="39"/>
        <v>0</v>
      </c>
      <c r="I111" s="23">
        <f t="shared" si="51"/>
        <v>0</v>
      </c>
      <c r="J111" s="23">
        <f t="shared" si="52"/>
        <v>83</v>
      </c>
      <c r="K111" s="23">
        <f t="shared" si="42"/>
        <v>0</v>
      </c>
      <c r="L111" s="24">
        <f t="shared" si="43"/>
        <v>4.730000000000004</v>
      </c>
      <c r="M111" s="24">
        <f t="shared" si="53"/>
        <v>4.730000000000004</v>
      </c>
      <c r="O111" s="24">
        <f t="shared" si="45"/>
        <v>0</v>
      </c>
      <c r="P111" s="24">
        <f t="shared" si="46"/>
        <v>0</v>
      </c>
      <c r="Q111" s="24">
        <f t="shared" si="47"/>
        <v>0</v>
      </c>
      <c r="R111" s="24">
        <f t="shared" si="48"/>
        <v>0</v>
      </c>
      <c r="S111" s="24">
        <f t="shared" si="49"/>
        <v>0</v>
      </c>
      <c r="T111" s="24">
        <f t="shared" si="50"/>
        <v>0</v>
      </c>
      <c r="V111" s="24"/>
      <c r="W111" s="24"/>
      <c r="X111" s="24"/>
      <c r="Y111" s="24"/>
      <c r="Z111" s="24"/>
      <c r="AA111" s="24"/>
    </row>
    <row r="112" spans="1:27" ht="33" customHeight="1" thickBot="1" x14ac:dyDescent="0.25">
      <c r="A112" s="26">
        <v>100</v>
      </c>
      <c r="B112" s="27">
        <v>43</v>
      </c>
      <c r="C112" s="41">
        <f t="shared" si="34"/>
        <v>0</v>
      </c>
      <c r="D112" s="41">
        <f t="shared" si="35"/>
        <v>0</v>
      </c>
      <c r="E112" s="41">
        <f t="shared" si="36"/>
        <v>0</v>
      </c>
      <c r="F112" s="41">
        <f t="shared" si="37"/>
        <v>0</v>
      </c>
      <c r="G112" s="41">
        <f t="shared" si="38"/>
        <v>0</v>
      </c>
      <c r="H112" s="41">
        <f t="shared" si="39"/>
        <v>0</v>
      </c>
      <c r="I112" s="28">
        <f t="shared" si="51"/>
        <v>0</v>
      </c>
      <c r="J112" s="28">
        <f t="shared" si="52"/>
        <v>43</v>
      </c>
      <c r="K112" s="28">
        <f t="shared" si="42"/>
        <v>0</v>
      </c>
      <c r="L112" s="29">
        <f t="shared" si="43"/>
        <v>44.730000000000004</v>
      </c>
      <c r="M112" s="29">
        <f t="shared" si="53"/>
        <v>44.730000000000004</v>
      </c>
      <c r="N112" s="30"/>
      <c r="O112" s="29">
        <f t="shared" si="45"/>
        <v>0</v>
      </c>
      <c r="P112" s="29">
        <f t="shared" si="46"/>
        <v>0</v>
      </c>
      <c r="Q112" s="29">
        <f t="shared" si="47"/>
        <v>0</v>
      </c>
      <c r="R112" s="29">
        <f t="shared" si="48"/>
        <v>0</v>
      </c>
      <c r="S112" s="29">
        <f t="shared" si="49"/>
        <v>0</v>
      </c>
      <c r="T112" s="29">
        <f t="shared" si="50"/>
        <v>0</v>
      </c>
      <c r="V112" s="29"/>
      <c r="W112" s="29"/>
      <c r="X112" s="29"/>
      <c r="Y112" s="29"/>
      <c r="Z112" s="29"/>
      <c r="AA112" s="29"/>
    </row>
    <row r="113" spans="1:21" ht="33" customHeight="1" thickTop="1" x14ac:dyDescent="0.2">
      <c r="A113" s="21" t="s">
        <v>56</v>
      </c>
      <c r="B113" s="21">
        <f>COUNT(B13:B112)</f>
        <v>100</v>
      </c>
      <c r="C113" s="21">
        <f t="shared" ref="C113:H113" si="54">COUNTIF(C13:C112, "&lt;&gt;0")</f>
        <v>0</v>
      </c>
      <c r="D113" s="21">
        <f t="shared" si="54"/>
        <v>0</v>
      </c>
      <c r="E113" s="21">
        <f t="shared" si="54"/>
        <v>0</v>
      </c>
      <c r="F113" s="21">
        <f t="shared" si="54"/>
        <v>0</v>
      </c>
      <c r="G113" s="21">
        <f t="shared" si="54"/>
        <v>0</v>
      </c>
      <c r="H113" s="21">
        <f t="shared" si="54"/>
        <v>0</v>
      </c>
      <c r="I113" s="21" t="s">
        <v>56</v>
      </c>
      <c r="J113" s="21">
        <f>B113-SUM(C113:H113)</f>
        <v>100</v>
      </c>
      <c r="K113" s="21">
        <f>B113-J113</f>
        <v>0</v>
      </c>
      <c r="L113" s="21">
        <f>B113</f>
        <v>100</v>
      </c>
      <c r="M113" s="21">
        <f>J113</f>
        <v>100</v>
      </c>
      <c r="N113" s="21" t="s">
        <v>57</v>
      </c>
      <c r="O113" s="21">
        <f t="shared" ref="O113:T113" si="55">C113</f>
        <v>0</v>
      </c>
      <c r="P113" s="21">
        <f t="shared" si="55"/>
        <v>0</v>
      </c>
      <c r="Q113" s="21">
        <f t="shared" si="55"/>
        <v>0</v>
      </c>
      <c r="R113" s="21">
        <f t="shared" si="55"/>
        <v>0</v>
      </c>
      <c r="S113" s="21">
        <f t="shared" si="55"/>
        <v>0</v>
      </c>
      <c r="T113" s="21">
        <f t="shared" si="55"/>
        <v>0</v>
      </c>
    </row>
    <row r="114" spans="1:21" ht="33" customHeight="1" x14ac:dyDescent="0.2">
      <c r="A114" s="31" t="s">
        <v>58</v>
      </c>
      <c r="B114" s="31">
        <f>SUM(B13:B112)</f>
        <v>8773</v>
      </c>
      <c r="I114" s="31" t="s">
        <v>58</v>
      </c>
      <c r="J114" s="31">
        <f>SUM(J13:J112)</f>
        <v>8773</v>
      </c>
      <c r="K114" s="31">
        <f>SUM(K13:K112)</f>
        <v>0</v>
      </c>
      <c r="L114" s="32">
        <f>SUM(L13:L112)</f>
        <v>2512.46</v>
      </c>
      <c r="M114" s="32">
        <f>SUM(M13:M112)</f>
        <v>2512.46</v>
      </c>
      <c r="N114" s="31" t="s">
        <v>59</v>
      </c>
      <c r="O114" s="32">
        <f t="shared" ref="O114:T114" si="56">SUM(O13:O112)</f>
        <v>0</v>
      </c>
      <c r="P114" s="32">
        <f t="shared" si="56"/>
        <v>0</v>
      </c>
      <c r="Q114" s="32">
        <f t="shared" si="56"/>
        <v>0</v>
      </c>
      <c r="R114" s="32">
        <f t="shared" si="56"/>
        <v>0</v>
      </c>
      <c r="S114" s="32">
        <f t="shared" si="56"/>
        <v>0</v>
      </c>
      <c r="T114" s="32">
        <f t="shared" si="56"/>
        <v>0</v>
      </c>
    </row>
    <row r="115" spans="1:21" ht="39" customHeight="1" x14ac:dyDescent="0.2">
      <c r="A115" s="33" t="s">
        <v>32</v>
      </c>
      <c r="B115" s="32">
        <f>B114/B113</f>
        <v>87.73</v>
      </c>
      <c r="I115" s="33" t="s">
        <v>32</v>
      </c>
      <c r="J115" s="32">
        <f>AVERAGEIF(J13:J112,"&lt;&gt;0")</f>
        <v>87.73</v>
      </c>
      <c r="K115" s="32" t="e">
        <f>AVERAGEIF(K13:K112,"&lt;&gt;0")</f>
        <v>#DIV/0!</v>
      </c>
      <c r="L115" s="32">
        <f>AVERAGEIF(L13:L112,"&lt;&gt;0")</f>
        <v>25.124600000000001</v>
      </c>
      <c r="M115" s="32">
        <f>AVERAGEIF(M13:M112,"&lt;&gt;0")</f>
        <v>25.124600000000001</v>
      </c>
      <c r="N115" s="31" t="s">
        <v>60</v>
      </c>
      <c r="O115" s="32">
        <f t="shared" ref="O115:T115" si="57">O113/$B$113</f>
        <v>0</v>
      </c>
      <c r="P115" s="32">
        <f t="shared" si="57"/>
        <v>0</v>
      </c>
      <c r="Q115" s="32">
        <f t="shared" si="57"/>
        <v>0</v>
      </c>
      <c r="R115" s="32">
        <f t="shared" si="57"/>
        <v>0</v>
      </c>
      <c r="S115" s="32">
        <f t="shared" si="57"/>
        <v>0</v>
      </c>
      <c r="T115" s="32">
        <f t="shared" si="57"/>
        <v>0</v>
      </c>
    </row>
    <row r="116" spans="1:21" ht="35.1" customHeight="1" x14ac:dyDescent="0.2">
      <c r="N116" s="31" t="s">
        <v>61</v>
      </c>
      <c r="O116" s="32">
        <f t="shared" ref="O116:T116" si="58">IF(O113&gt;0,(O114/(O113*$B$115)),0)</f>
        <v>0</v>
      </c>
      <c r="P116" s="32">
        <f t="shared" si="58"/>
        <v>0</v>
      </c>
      <c r="Q116" s="32">
        <f t="shared" si="58"/>
        <v>0</v>
      </c>
      <c r="R116" s="32">
        <f t="shared" si="58"/>
        <v>0</v>
      </c>
      <c r="S116" s="32">
        <f t="shared" si="58"/>
        <v>0</v>
      </c>
      <c r="T116" s="32">
        <f t="shared" si="58"/>
        <v>0</v>
      </c>
    </row>
    <row r="117" spans="1:21" ht="35.1" customHeight="1" x14ac:dyDescent="0.2">
      <c r="A117" s="31"/>
      <c r="B117" s="34" t="s">
        <v>62</v>
      </c>
      <c r="C117" s="34" t="s">
        <v>63</v>
      </c>
      <c r="D117" s="34" t="s">
        <v>64</v>
      </c>
      <c r="E117" s="34" t="s">
        <v>65</v>
      </c>
      <c r="N117" s="31" t="s">
        <v>66</v>
      </c>
      <c r="O117" s="32">
        <f t="shared" ref="O117:T117" si="59">O115*O116</f>
        <v>0</v>
      </c>
      <c r="P117" s="32">
        <f t="shared" si="59"/>
        <v>0</v>
      </c>
      <c r="Q117" s="32">
        <f t="shared" si="59"/>
        <v>0</v>
      </c>
      <c r="R117" s="32">
        <f t="shared" si="59"/>
        <v>0</v>
      </c>
      <c r="S117" s="32">
        <f t="shared" si="59"/>
        <v>0</v>
      </c>
      <c r="T117" s="32">
        <f t="shared" si="59"/>
        <v>0</v>
      </c>
      <c r="U117" s="35"/>
    </row>
    <row r="118" spans="1:21" ht="35.1" customHeight="1" x14ac:dyDescent="0.2">
      <c r="A118" s="31" t="s">
        <v>67</v>
      </c>
      <c r="B118" s="31">
        <f>J114</f>
        <v>8773</v>
      </c>
      <c r="C118" s="31">
        <f>J113</f>
        <v>100</v>
      </c>
      <c r="D118" s="32">
        <f>J115</f>
        <v>87.73</v>
      </c>
      <c r="E118" s="32">
        <f>M114/C118</f>
        <v>25.124600000000001</v>
      </c>
      <c r="G118" s="31" t="s">
        <v>68</v>
      </c>
      <c r="H118" s="36">
        <f>1/J115*60*60</f>
        <v>41.034993730764846</v>
      </c>
      <c r="J118" s="31" t="s">
        <v>69</v>
      </c>
      <c r="K118" s="36">
        <f>H118*(1-SUM(O117:T117))</f>
        <v>41.034993730764846</v>
      </c>
      <c r="U118" s="35"/>
    </row>
    <row r="119" spans="1:21" ht="33.950000000000003" customHeight="1" x14ac:dyDescent="0.2">
      <c r="A119" s="33" t="s">
        <v>70</v>
      </c>
      <c r="B119" s="31">
        <f>B114</f>
        <v>8773</v>
      </c>
      <c r="C119" s="31">
        <f>B113</f>
        <v>100</v>
      </c>
      <c r="D119" s="32">
        <f>B115</f>
        <v>87.73</v>
      </c>
      <c r="E119" s="32">
        <f>L114/C119</f>
        <v>25.124600000000001</v>
      </c>
      <c r="G119" s="31" t="s">
        <v>71</v>
      </c>
      <c r="H119" s="37">
        <f>M115/J115</f>
        <v>0.28638550096888177</v>
      </c>
      <c r="J119" s="33" t="s">
        <v>72</v>
      </c>
      <c r="K119" s="37">
        <f>L115/B115</f>
        <v>0.28638550096888177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C11:H11"/>
    <mergeCell ref="B6:C6"/>
    <mergeCell ref="V11:AA11"/>
    <mergeCell ref="A1:M1"/>
    <mergeCell ref="A4:M4"/>
    <mergeCell ref="A3:M3"/>
    <mergeCell ref="B11:B12"/>
    <mergeCell ref="B9:C9"/>
    <mergeCell ref="B8:C8"/>
    <mergeCell ref="A2:M2"/>
    <mergeCell ref="O11:T11"/>
    <mergeCell ref="A11:A12"/>
  </mergeCells>
  <pageMargins left="0.23622047244094491" right="0.23622047244094491" top="0.74803149606299213" bottom="0.74803149606299213" header="0.31496062992125978" footer="0.31496062992125978"/>
  <pageSetup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Dozer</vt:lpstr>
      <vt:lpstr>MPDM 1</vt:lpstr>
      <vt:lpstr>Dozer!Print_Area</vt:lpstr>
      <vt:lpstr>'MPDM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2026-06-05T09:17:08Z</dcterms:modified>
</cp:coreProperties>
</file>